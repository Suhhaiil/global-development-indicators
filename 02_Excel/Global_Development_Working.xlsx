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b6531f2b9c611b1/Desktop/Erasmus Mundus/08 Projects/02_Global_Development_and_Economic_Trends/02_Excel/"/>
    </mc:Choice>
  </mc:AlternateContent>
  <xr:revisionPtr revIDLastSave="849" documentId="8_{E38D8413-53B8-437A-913E-E3E78A1A1280}" xr6:coauthVersionLast="47" xr6:coauthVersionMax="47" xr10:uidLastSave="{557A95BD-BFCB-4B86-B01F-2336EF964B49}"/>
  <bookViews>
    <workbookView xWindow="-108" yWindow="-108" windowWidth="23256" windowHeight="12456" firstSheet="1" activeTab="7" xr2:uid="{00000000-000D-0000-FFFF-FFFF00000000}"/>
  </bookViews>
  <sheets>
    <sheet name="Index" sheetId="10" r:id="rId1"/>
    <sheet name="WorldBankRaw" sheetId="3" r:id="rId2"/>
    <sheet name="Data" sheetId="1" r:id="rId3"/>
    <sheet name="Series - Metadata" sheetId="2" r:id="rId4"/>
    <sheet name="Clean_Data" sheetId="4" r:id="rId5"/>
    <sheet name="Analysis" sheetId="5" r:id="rId6"/>
    <sheet name="Historical_Analysis" sheetId="7" r:id="rId7"/>
    <sheet name="Dashboard" sheetId="8" r:id="rId8"/>
    <sheet name="Pivot_Table" sheetId="12" r:id="rId9"/>
    <sheet name="Data_Dictionary" sheetId="11" r:id="rId10"/>
  </sheets>
  <definedNames>
    <definedName name="ExternalData_1" localSheetId="1" hidden="1">WorldBankRaw!$A$1:$G$376</definedName>
  </definedNames>
  <calcPr calcId="191029"/>
  <pivotCaches>
    <pivotCache cacheId="1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7" l="1"/>
  <c r="H32" i="7"/>
  <c r="O32" i="7"/>
  <c r="T32" i="7" s="1"/>
  <c r="O5" i="7"/>
  <c r="O6" i="7" s="1"/>
  <c r="O7" i="7"/>
  <c r="A5" i="7"/>
  <c r="B5" i="7"/>
  <c r="C5" i="7"/>
  <c r="D5" i="7"/>
  <c r="E5" i="7"/>
  <c r="F5" i="7"/>
  <c r="A6" i="7"/>
  <c r="R4" i="7" s="1"/>
  <c r="B6" i="7"/>
  <c r="C6" i="7"/>
  <c r="D6" i="7"/>
  <c r="E6" i="7"/>
  <c r="F6" i="7"/>
  <c r="A7" i="7"/>
  <c r="B7" i="7"/>
  <c r="C7" i="7"/>
  <c r="D7" i="7"/>
  <c r="E7" i="7"/>
  <c r="F7" i="7"/>
  <c r="A8" i="7"/>
  <c r="B8" i="7"/>
  <c r="C8" i="7"/>
  <c r="D8" i="7"/>
  <c r="E8" i="7"/>
  <c r="F8" i="7"/>
  <c r="A9" i="7"/>
  <c r="B9" i="7"/>
  <c r="C9" i="7"/>
  <c r="D9" i="7"/>
  <c r="E9" i="7"/>
  <c r="F9" i="7"/>
  <c r="A10" i="7"/>
  <c r="B10" i="7"/>
  <c r="C10" i="7"/>
  <c r="D10" i="7"/>
  <c r="E10" i="7"/>
  <c r="F10" i="7"/>
  <c r="A11" i="7"/>
  <c r="B11" i="7"/>
  <c r="C11" i="7"/>
  <c r="D11" i="7"/>
  <c r="E11" i="7"/>
  <c r="F11" i="7"/>
  <c r="A12" i="7"/>
  <c r="B12" i="7"/>
  <c r="C12" i="7"/>
  <c r="D12" i="7"/>
  <c r="E12" i="7"/>
  <c r="F12" i="7"/>
  <c r="A13" i="7"/>
  <c r="B13" i="7"/>
  <c r="C13" i="7"/>
  <c r="D13" i="7"/>
  <c r="E13" i="7"/>
  <c r="F13" i="7"/>
  <c r="A14" i="7"/>
  <c r="B14" i="7"/>
  <c r="C14" i="7"/>
  <c r="D14" i="7"/>
  <c r="E14" i="7"/>
  <c r="F14" i="7"/>
  <c r="A15" i="7"/>
  <c r="B15" i="7"/>
  <c r="C15" i="7"/>
  <c r="D15" i="7"/>
  <c r="E15" i="7"/>
  <c r="F15" i="7"/>
  <c r="A16" i="7"/>
  <c r="B16" i="7"/>
  <c r="C16" i="7"/>
  <c r="D16" i="7"/>
  <c r="E16" i="7"/>
  <c r="F16" i="7"/>
  <c r="A17" i="7"/>
  <c r="B17" i="7"/>
  <c r="C17" i="7"/>
  <c r="D17" i="7"/>
  <c r="E17" i="7"/>
  <c r="F17" i="7"/>
  <c r="A18" i="7"/>
  <c r="B18" i="7"/>
  <c r="C18" i="7"/>
  <c r="D18" i="7"/>
  <c r="E18" i="7"/>
  <c r="F18" i="7"/>
  <c r="A19" i="7"/>
  <c r="B19" i="7"/>
  <c r="C19" i="7"/>
  <c r="D19" i="7"/>
  <c r="E19" i="7"/>
  <c r="F19" i="7"/>
  <c r="A20" i="7"/>
  <c r="B20" i="7"/>
  <c r="C20" i="7"/>
  <c r="D20" i="7"/>
  <c r="E20" i="7"/>
  <c r="F20" i="7"/>
  <c r="A21" i="7"/>
  <c r="B21" i="7"/>
  <c r="C21" i="7"/>
  <c r="D21" i="7"/>
  <c r="E21" i="7"/>
  <c r="F21" i="7"/>
  <c r="A22" i="7"/>
  <c r="B22" i="7"/>
  <c r="C22" i="7"/>
  <c r="D22" i="7"/>
  <c r="E22" i="7"/>
  <c r="F22" i="7"/>
  <c r="A23" i="7"/>
  <c r="B23" i="7"/>
  <c r="C23" i="7"/>
  <c r="D23" i="7"/>
  <c r="E23" i="7"/>
  <c r="F23" i="7"/>
  <c r="A24" i="7"/>
  <c r="B24" i="7"/>
  <c r="C24" i="7"/>
  <c r="D24" i="7"/>
  <c r="E24" i="7"/>
  <c r="F24" i="7"/>
  <c r="A25" i="7"/>
  <c r="B25" i="7"/>
  <c r="C25" i="7"/>
  <c r="D25" i="7"/>
  <c r="E25" i="7"/>
  <c r="F25" i="7"/>
  <c r="A26" i="7"/>
  <c r="B26" i="7"/>
  <c r="C26" i="7"/>
  <c r="D26" i="7"/>
  <c r="E26" i="7"/>
  <c r="F26" i="7"/>
  <c r="A27" i="7"/>
  <c r="B27" i="7"/>
  <c r="C27" i="7"/>
  <c r="D27" i="7"/>
  <c r="E27" i="7"/>
  <c r="F27" i="7"/>
  <c r="A28" i="7"/>
  <c r="B28" i="7"/>
  <c r="C28" i="7"/>
  <c r="D28" i="7"/>
  <c r="E28" i="7"/>
  <c r="F28" i="7"/>
  <c r="A29" i="7"/>
  <c r="B29" i="7"/>
  <c r="C29" i="7"/>
  <c r="D29" i="7"/>
  <c r="E29" i="7"/>
  <c r="F29" i="7"/>
  <c r="A30" i="7"/>
  <c r="B30" i="7"/>
  <c r="C30" i="7"/>
  <c r="D30" i="7"/>
  <c r="E30" i="7"/>
  <c r="F30" i="7"/>
  <c r="A31" i="7"/>
  <c r="B31" i="7"/>
  <c r="C31" i="7"/>
  <c r="D31" i="7"/>
  <c r="E31" i="7"/>
  <c r="F31" i="7"/>
  <c r="A32" i="7"/>
  <c r="B32" i="7"/>
  <c r="C32" i="7"/>
  <c r="D32" i="7"/>
  <c r="E32" i="7"/>
  <c r="F32" i="7"/>
  <c r="A33" i="7"/>
  <c r="B33" i="7"/>
  <c r="C33" i="7"/>
  <c r="D33" i="7"/>
  <c r="E33" i="7"/>
  <c r="F33" i="7"/>
  <c r="A34" i="7"/>
  <c r="B34" i="7"/>
  <c r="C34" i="7"/>
  <c r="D34" i="7"/>
  <c r="E34" i="7"/>
  <c r="F34" i="7"/>
  <c r="A35" i="7"/>
  <c r="B35" i="7"/>
  <c r="C35" i="7"/>
  <c r="D35" i="7"/>
  <c r="E35" i="7"/>
  <c r="F35" i="7"/>
  <c r="A36" i="7"/>
  <c r="B36" i="7"/>
  <c r="C36" i="7"/>
  <c r="D36" i="7"/>
  <c r="E36" i="7"/>
  <c r="F36" i="7"/>
  <c r="A37" i="7"/>
  <c r="B37" i="7"/>
  <c r="C37" i="7"/>
  <c r="D37" i="7"/>
  <c r="E37" i="7"/>
  <c r="F37" i="7"/>
  <c r="A38" i="7"/>
  <c r="B38" i="7"/>
  <c r="C38" i="7"/>
  <c r="D38" i="7"/>
  <c r="E38" i="7"/>
  <c r="F38" i="7"/>
  <c r="A39" i="7"/>
  <c r="B39" i="7"/>
  <c r="C39" i="7"/>
  <c r="D39" i="7"/>
  <c r="E39" i="7"/>
  <c r="F39" i="7"/>
  <c r="A40" i="7"/>
  <c r="B40" i="7"/>
  <c r="C40" i="7"/>
  <c r="D40" i="7"/>
  <c r="E40" i="7"/>
  <c r="F40" i="7"/>
  <c r="A41" i="7"/>
  <c r="B41" i="7"/>
  <c r="C41" i="7"/>
  <c r="D41" i="7"/>
  <c r="E41" i="7"/>
  <c r="F41" i="7"/>
  <c r="A42" i="7"/>
  <c r="B42" i="7"/>
  <c r="C42" i="7"/>
  <c r="D42" i="7"/>
  <c r="E42" i="7"/>
  <c r="F42" i="7"/>
  <c r="A43" i="7"/>
  <c r="B43" i="7"/>
  <c r="C43" i="7"/>
  <c r="D43" i="7"/>
  <c r="E43" i="7"/>
  <c r="F43" i="7"/>
  <c r="A44" i="7"/>
  <c r="B44" i="7"/>
  <c r="C44" i="7"/>
  <c r="D44" i="7"/>
  <c r="E44" i="7"/>
  <c r="F44" i="7"/>
  <c r="A45" i="7"/>
  <c r="B45" i="7"/>
  <c r="C45" i="7"/>
  <c r="D45" i="7"/>
  <c r="E45" i="7"/>
  <c r="F45" i="7"/>
  <c r="A46" i="7"/>
  <c r="B46" i="7"/>
  <c r="C46" i="7"/>
  <c r="D46" i="7"/>
  <c r="E46" i="7"/>
  <c r="F46" i="7"/>
  <c r="A47" i="7"/>
  <c r="B47" i="7"/>
  <c r="C47" i="7"/>
  <c r="D47" i="7"/>
  <c r="E47" i="7"/>
  <c r="F47" i="7"/>
  <c r="A48" i="7"/>
  <c r="B48" i="7"/>
  <c r="C48" i="7"/>
  <c r="D48" i="7"/>
  <c r="E48" i="7"/>
  <c r="F48" i="7"/>
  <c r="A49" i="7"/>
  <c r="B49" i="7"/>
  <c r="C49" i="7"/>
  <c r="D49" i="7"/>
  <c r="E49" i="7"/>
  <c r="F49" i="7"/>
  <c r="A50" i="7"/>
  <c r="B50" i="7"/>
  <c r="C50" i="7"/>
  <c r="D50" i="7"/>
  <c r="E50" i="7"/>
  <c r="F50" i="7"/>
  <c r="A51" i="7"/>
  <c r="B51" i="7"/>
  <c r="C51" i="7"/>
  <c r="D51" i="7"/>
  <c r="E51" i="7"/>
  <c r="F51" i="7"/>
  <c r="A52" i="7"/>
  <c r="B52" i="7"/>
  <c r="C52" i="7"/>
  <c r="D52" i="7"/>
  <c r="E52" i="7"/>
  <c r="F52" i="7"/>
  <c r="A53" i="7"/>
  <c r="B53" i="7"/>
  <c r="C53" i="7"/>
  <c r="D53" i="7"/>
  <c r="E53" i="7"/>
  <c r="F53" i="7"/>
  <c r="A54" i="7"/>
  <c r="B54" i="7"/>
  <c r="C54" i="7"/>
  <c r="D54" i="7"/>
  <c r="E54" i="7"/>
  <c r="F54" i="7"/>
  <c r="A55" i="7"/>
  <c r="B55" i="7"/>
  <c r="C55" i="7"/>
  <c r="D55" i="7"/>
  <c r="E55" i="7"/>
  <c r="F55" i="7"/>
  <c r="A56" i="7"/>
  <c r="B56" i="7"/>
  <c r="C56" i="7"/>
  <c r="D56" i="7"/>
  <c r="E56" i="7"/>
  <c r="F56" i="7"/>
  <c r="A57" i="7"/>
  <c r="B57" i="7"/>
  <c r="C57" i="7"/>
  <c r="D57" i="7"/>
  <c r="E57" i="7"/>
  <c r="F57" i="7"/>
  <c r="A58" i="7"/>
  <c r="B58" i="7"/>
  <c r="C58" i="7"/>
  <c r="D58" i="7"/>
  <c r="E58" i="7"/>
  <c r="F58" i="7"/>
  <c r="A59" i="7"/>
  <c r="B59" i="7"/>
  <c r="C59" i="7"/>
  <c r="D59" i="7"/>
  <c r="E59" i="7"/>
  <c r="F59" i="7"/>
  <c r="A60" i="7"/>
  <c r="B60" i="7"/>
  <c r="C60" i="7"/>
  <c r="D60" i="7"/>
  <c r="E60" i="7"/>
  <c r="F60" i="7"/>
  <c r="A61" i="7"/>
  <c r="B61" i="7"/>
  <c r="C61" i="7"/>
  <c r="D61" i="7"/>
  <c r="E61" i="7"/>
  <c r="F61" i="7"/>
  <c r="A62" i="7"/>
  <c r="B62" i="7"/>
  <c r="C62" i="7"/>
  <c r="D62" i="7"/>
  <c r="E62" i="7"/>
  <c r="F62" i="7"/>
  <c r="A63" i="7"/>
  <c r="B63" i="7"/>
  <c r="C63" i="7"/>
  <c r="D63" i="7"/>
  <c r="E63" i="7"/>
  <c r="F63" i="7"/>
  <c r="A64" i="7"/>
  <c r="B64" i="7"/>
  <c r="C64" i="7"/>
  <c r="D64" i="7"/>
  <c r="E64" i="7"/>
  <c r="F64" i="7"/>
  <c r="A65" i="7"/>
  <c r="B65" i="7"/>
  <c r="C65" i="7"/>
  <c r="D65" i="7"/>
  <c r="E65" i="7"/>
  <c r="F65" i="7"/>
  <c r="A66" i="7"/>
  <c r="B66" i="7"/>
  <c r="C66" i="7"/>
  <c r="D66" i="7"/>
  <c r="E66" i="7"/>
  <c r="F66" i="7"/>
  <c r="A67" i="7"/>
  <c r="B67" i="7"/>
  <c r="C67" i="7"/>
  <c r="D67" i="7"/>
  <c r="E67" i="7"/>
  <c r="F67" i="7"/>
  <c r="A68" i="7"/>
  <c r="B68" i="7"/>
  <c r="C68" i="7"/>
  <c r="D68" i="7"/>
  <c r="E68" i="7"/>
  <c r="F68" i="7"/>
  <c r="A69" i="7"/>
  <c r="B69" i="7"/>
  <c r="C69" i="7"/>
  <c r="D69" i="7"/>
  <c r="E69" i="7"/>
  <c r="F69" i="7"/>
  <c r="A70" i="7"/>
  <c r="B70" i="7"/>
  <c r="C70" i="7"/>
  <c r="D70" i="7"/>
  <c r="E70" i="7"/>
  <c r="F70" i="7"/>
  <c r="A71" i="7"/>
  <c r="B71" i="7"/>
  <c r="C71" i="7"/>
  <c r="D71" i="7"/>
  <c r="E71" i="7"/>
  <c r="F71" i="7"/>
  <c r="A72" i="7"/>
  <c r="B72" i="7"/>
  <c r="C72" i="7"/>
  <c r="D72" i="7"/>
  <c r="E72" i="7"/>
  <c r="F72" i="7"/>
  <c r="A73" i="7"/>
  <c r="B73" i="7"/>
  <c r="C73" i="7"/>
  <c r="D73" i="7"/>
  <c r="E73" i="7"/>
  <c r="F73" i="7"/>
  <c r="A74" i="7"/>
  <c r="B74" i="7"/>
  <c r="C74" i="7"/>
  <c r="D74" i="7"/>
  <c r="E74" i="7"/>
  <c r="F74" i="7"/>
  <c r="A75" i="7"/>
  <c r="B75" i="7"/>
  <c r="C75" i="7"/>
  <c r="D75" i="7"/>
  <c r="E75" i="7"/>
  <c r="F75" i="7"/>
  <c r="A76" i="7"/>
  <c r="B76" i="7"/>
  <c r="C76" i="7"/>
  <c r="D76" i="7"/>
  <c r="E76" i="7"/>
  <c r="F76" i="7"/>
  <c r="A77" i="7"/>
  <c r="B77" i="7"/>
  <c r="C77" i="7"/>
  <c r="D77" i="7"/>
  <c r="E77" i="7"/>
  <c r="F77" i="7"/>
  <c r="A78" i="7"/>
  <c r="B78" i="7"/>
  <c r="C78" i="7"/>
  <c r="D78" i="7"/>
  <c r="E78" i="7"/>
  <c r="F78" i="7"/>
  <c r="A79" i="7"/>
  <c r="B79" i="7"/>
  <c r="C79" i="7"/>
  <c r="D79" i="7"/>
  <c r="E79" i="7"/>
  <c r="F79" i="7"/>
  <c r="A80" i="7"/>
  <c r="B80" i="7"/>
  <c r="C80" i="7"/>
  <c r="D80" i="7"/>
  <c r="E80" i="7"/>
  <c r="F80" i="7"/>
  <c r="A81" i="7"/>
  <c r="B81" i="7"/>
  <c r="C81" i="7"/>
  <c r="D81" i="7"/>
  <c r="E81" i="7"/>
  <c r="F81" i="7"/>
  <c r="A82" i="7"/>
  <c r="B82" i="7"/>
  <c r="C82" i="7"/>
  <c r="D82" i="7"/>
  <c r="E82" i="7"/>
  <c r="F82" i="7"/>
  <c r="A83" i="7"/>
  <c r="B83" i="7"/>
  <c r="C83" i="7"/>
  <c r="D83" i="7"/>
  <c r="E83" i="7"/>
  <c r="F83" i="7"/>
  <c r="A84" i="7"/>
  <c r="B84" i="7"/>
  <c r="C84" i="7"/>
  <c r="D84" i="7"/>
  <c r="E84" i="7"/>
  <c r="F84" i="7"/>
  <c r="A85" i="7"/>
  <c r="B85" i="7"/>
  <c r="C85" i="7"/>
  <c r="D85" i="7"/>
  <c r="E85" i="7"/>
  <c r="F85" i="7"/>
  <c r="A86" i="7"/>
  <c r="B86" i="7"/>
  <c r="C86" i="7"/>
  <c r="D86" i="7"/>
  <c r="E86" i="7"/>
  <c r="F86" i="7"/>
  <c r="A87" i="7"/>
  <c r="B87" i="7"/>
  <c r="C87" i="7"/>
  <c r="D87" i="7"/>
  <c r="E87" i="7"/>
  <c r="F87" i="7"/>
  <c r="A88" i="7"/>
  <c r="B88" i="7"/>
  <c r="C88" i="7"/>
  <c r="D88" i="7"/>
  <c r="E88" i="7"/>
  <c r="F88" i="7"/>
  <c r="A89" i="7"/>
  <c r="B89" i="7"/>
  <c r="C89" i="7"/>
  <c r="D89" i="7"/>
  <c r="E89" i="7"/>
  <c r="F89" i="7"/>
  <c r="A90" i="7"/>
  <c r="B90" i="7"/>
  <c r="C90" i="7"/>
  <c r="D90" i="7"/>
  <c r="E90" i="7"/>
  <c r="F90" i="7"/>
  <c r="A91" i="7"/>
  <c r="B91" i="7"/>
  <c r="C91" i="7"/>
  <c r="D91" i="7"/>
  <c r="E91" i="7"/>
  <c r="F91" i="7"/>
  <c r="A92" i="7"/>
  <c r="B92" i="7"/>
  <c r="C92" i="7"/>
  <c r="D92" i="7"/>
  <c r="E92" i="7"/>
  <c r="F92" i="7"/>
  <c r="A93" i="7"/>
  <c r="B93" i="7"/>
  <c r="C93" i="7"/>
  <c r="D93" i="7"/>
  <c r="E93" i="7"/>
  <c r="F93" i="7"/>
  <c r="A94" i="7"/>
  <c r="B94" i="7"/>
  <c r="C94" i="7"/>
  <c r="D94" i="7"/>
  <c r="E94" i="7"/>
  <c r="F94" i="7"/>
  <c r="A95" i="7"/>
  <c r="B95" i="7"/>
  <c r="C95" i="7"/>
  <c r="D95" i="7"/>
  <c r="E95" i="7"/>
  <c r="F95" i="7"/>
  <c r="A96" i="7"/>
  <c r="B96" i="7"/>
  <c r="C96" i="7"/>
  <c r="D96" i="7"/>
  <c r="E96" i="7"/>
  <c r="F96" i="7"/>
  <c r="A97" i="7"/>
  <c r="B97" i="7"/>
  <c r="C97" i="7"/>
  <c r="D97" i="7"/>
  <c r="E97" i="7"/>
  <c r="F97" i="7"/>
  <c r="A98" i="7"/>
  <c r="B98" i="7"/>
  <c r="C98" i="7"/>
  <c r="D98" i="7"/>
  <c r="E98" i="7"/>
  <c r="F98" i="7"/>
  <c r="A99" i="7"/>
  <c r="B99" i="7"/>
  <c r="C99" i="7"/>
  <c r="D99" i="7"/>
  <c r="E99" i="7"/>
  <c r="F99" i="7"/>
  <c r="A100" i="7"/>
  <c r="B100" i="7"/>
  <c r="C100" i="7"/>
  <c r="D100" i="7"/>
  <c r="E100" i="7"/>
  <c r="F100" i="7"/>
  <c r="A101" i="7"/>
  <c r="B101" i="7"/>
  <c r="C101" i="7"/>
  <c r="D101" i="7"/>
  <c r="E101" i="7"/>
  <c r="F101" i="7"/>
  <c r="A102" i="7"/>
  <c r="B102" i="7"/>
  <c r="C102" i="7"/>
  <c r="D102" i="7"/>
  <c r="E102" i="7"/>
  <c r="F102" i="7"/>
  <c r="A103" i="7"/>
  <c r="B103" i="7"/>
  <c r="C103" i="7"/>
  <c r="D103" i="7"/>
  <c r="E103" i="7"/>
  <c r="F103" i="7"/>
  <c r="A104" i="7"/>
  <c r="B104" i="7"/>
  <c r="C104" i="7"/>
  <c r="D104" i="7"/>
  <c r="E104" i="7"/>
  <c r="F104" i="7"/>
  <c r="A105" i="7"/>
  <c r="B105" i="7"/>
  <c r="C105" i="7"/>
  <c r="D105" i="7"/>
  <c r="E105" i="7"/>
  <c r="F105" i="7"/>
  <c r="A106" i="7"/>
  <c r="B106" i="7"/>
  <c r="C106" i="7"/>
  <c r="D106" i="7"/>
  <c r="E106" i="7"/>
  <c r="F106" i="7"/>
  <c r="A107" i="7"/>
  <c r="B107" i="7"/>
  <c r="C107" i="7"/>
  <c r="D107" i="7"/>
  <c r="E107" i="7"/>
  <c r="F107" i="7"/>
  <c r="A108" i="7"/>
  <c r="B108" i="7"/>
  <c r="C108" i="7"/>
  <c r="D108" i="7"/>
  <c r="E108" i="7"/>
  <c r="F108" i="7"/>
  <c r="A109" i="7"/>
  <c r="B109" i="7"/>
  <c r="C109" i="7"/>
  <c r="D109" i="7"/>
  <c r="E109" i="7"/>
  <c r="F109" i="7"/>
  <c r="A110" i="7"/>
  <c r="B110" i="7"/>
  <c r="C110" i="7"/>
  <c r="D110" i="7"/>
  <c r="E110" i="7"/>
  <c r="F110" i="7"/>
  <c r="A111" i="7"/>
  <c r="B111" i="7"/>
  <c r="C111" i="7"/>
  <c r="D111" i="7"/>
  <c r="E111" i="7"/>
  <c r="F111" i="7"/>
  <c r="A112" i="7"/>
  <c r="B112" i="7"/>
  <c r="C112" i="7"/>
  <c r="D112" i="7"/>
  <c r="E112" i="7"/>
  <c r="F112" i="7"/>
  <c r="A113" i="7"/>
  <c r="B113" i="7"/>
  <c r="C113" i="7"/>
  <c r="D113" i="7"/>
  <c r="E113" i="7"/>
  <c r="F113" i="7"/>
  <c r="A114" i="7"/>
  <c r="B114" i="7"/>
  <c r="C114" i="7"/>
  <c r="D114" i="7"/>
  <c r="E114" i="7"/>
  <c r="F114" i="7"/>
  <c r="A115" i="7"/>
  <c r="B115" i="7"/>
  <c r="C115" i="7"/>
  <c r="D115" i="7"/>
  <c r="E115" i="7"/>
  <c r="F115" i="7"/>
  <c r="A116" i="7"/>
  <c r="B116" i="7"/>
  <c r="C116" i="7"/>
  <c r="D116" i="7"/>
  <c r="E116" i="7"/>
  <c r="F116" i="7"/>
  <c r="A117" i="7"/>
  <c r="B117" i="7"/>
  <c r="C117" i="7"/>
  <c r="D117" i="7"/>
  <c r="E117" i="7"/>
  <c r="F117" i="7"/>
  <c r="A118" i="7"/>
  <c r="B118" i="7"/>
  <c r="C118" i="7"/>
  <c r="D118" i="7"/>
  <c r="E118" i="7"/>
  <c r="F118" i="7"/>
  <c r="A119" i="7"/>
  <c r="B119" i="7"/>
  <c r="C119" i="7"/>
  <c r="D119" i="7"/>
  <c r="E119" i="7"/>
  <c r="F119" i="7"/>
  <c r="A120" i="7"/>
  <c r="B120" i="7"/>
  <c r="C120" i="7"/>
  <c r="D120" i="7"/>
  <c r="E120" i="7"/>
  <c r="F120" i="7"/>
  <c r="A121" i="7"/>
  <c r="B121" i="7"/>
  <c r="C121" i="7"/>
  <c r="D121" i="7"/>
  <c r="E121" i="7"/>
  <c r="F121" i="7"/>
  <c r="A122" i="7"/>
  <c r="B122" i="7"/>
  <c r="C122" i="7"/>
  <c r="D122" i="7"/>
  <c r="E122" i="7"/>
  <c r="F122" i="7"/>
  <c r="A123" i="7"/>
  <c r="B123" i="7"/>
  <c r="C123" i="7"/>
  <c r="D123" i="7"/>
  <c r="E123" i="7"/>
  <c r="F123" i="7"/>
  <c r="A124" i="7"/>
  <c r="B124" i="7"/>
  <c r="C124" i="7"/>
  <c r="D124" i="7"/>
  <c r="E124" i="7"/>
  <c r="F124" i="7"/>
  <c r="A125" i="7"/>
  <c r="B125" i="7"/>
  <c r="C125" i="7"/>
  <c r="D125" i="7"/>
  <c r="E125" i="7"/>
  <c r="F125" i="7"/>
  <c r="A126" i="7"/>
  <c r="B126" i="7"/>
  <c r="C126" i="7"/>
  <c r="D126" i="7"/>
  <c r="E126" i="7"/>
  <c r="F126" i="7"/>
  <c r="A127" i="7"/>
  <c r="B127" i="7"/>
  <c r="C127" i="7"/>
  <c r="D127" i="7"/>
  <c r="E127" i="7"/>
  <c r="F127" i="7"/>
  <c r="A128" i="7"/>
  <c r="B128" i="7"/>
  <c r="C128" i="7"/>
  <c r="D128" i="7"/>
  <c r="E128" i="7"/>
  <c r="F128" i="7"/>
  <c r="A129" i="7"/>
  <c r="B129" i="7"/>
  <c r="C129" i="7"/>
  <c r="D129" i="7"/>
  <c r="E129" i="7"/>
  <c r="F129" i="7"/>
  <c r="A130" i="7"/>
  <c r="B130" i="7"/>
  <c r="C130" i="7"/>
  <c r="D130" i="7"/>
  <c r="E130" i="7"/>
  <c r="F130" i="7"/>
  <c r="A131" i="7"/>
  <c r="B131" i="7"/>
  <c r="C131" i="7"/>
  <c r="D131" i="7"/>
  <c r="E131" i="7"/>
  <c r="F131" i="7"/>
  <c r="A132" i="7"/>
  <c r="B132" i="7"/>
  <c r="C132" i="7"/>
  <c r="D132" i="7"/>
  <c r="E132" i="7"/>
  <c r="F132" i="7"/>
  <c r="A133" i="7"/>
  <c r="B133" i="7"/>
  <c r="C133" i="7"/>
  <c r="D133" i="7"/>
  <c r="E133" i="7"/>
  <c r="F133" i="7"/>
  <c r="A134" i="7"/>
  <c r="B134" i="7"/>
  <c r="C134" i="7"/>
  <c r="D134" i="7"/>
  <c r="E134" i="7"/>
  <c r="F134" i="7"/>
  <c r="A135" i="7"/>
  <c r="B135" i="7"/>
  <c r="C135" i="7"/>
  <c r="D135" i="7"/>
  <c r="E135" i="7"/>
  <c r="F135" i="7"/>
  <c r="A136" i="7"/>
  <c r="B136" i="7"/>
  <c r="C136" i="7"/>
  <c r="D136" i="7"/>
  <c r="E136" i="7"/>
  <c r="F136" i="7"/>
  <c r="A137" i="7"/>
  <c r="B137" i="7"/>
  <c r="C137" i="7"/>
  <c r="D137" i="7"/>
  <c r="E137" i="7"/>
  <c r="F137" i="7"/>
  <c r="A138" i="7"/>
  <c r="B138" i="7"/>
  <c r="C138" i="7"/>
  <c r="D138" i="7"/>
  <c r="E138" i="7"/>
  <c r="F138" i="7"/>
  <c r="A139" i="7"/>
  <c r="B139" i="7"/>
  <c r="C139" i="7"/>
  <c r="D139" i="7"/>
  <c r="E139" i="7"/>
  <c r="F139" i="7"/>
  <c r="A140" i="7"/>
  <c r="B140" i="7"/>
  <c r="C140" i="7"/>
  <c r="D140" i="7"/>
  <c r="E140" i="7"/>
  <c r="F140" i="7"/>
  <c r="A141" i="7"/>
  <c r="B141" i="7"/>
  <c r="C141" i="7"/>
  <c r="D141" i="7"/>
  <c r="E141" i="7"/>
  <c r="F141" i="7"/>
  <c r="A142" i="7"/>
  <c r="B142" i="7"/>
  <c r="C142" i="7"/>
  <c r="D142" i="7"/>
  <c r="E142" i="7"/>
  <c r="F142" i="7"/>
  <c r="A143" i="7"/>
  <c r="B143" i="7"/>
  <c r="C143" i="7"/>
  <c r="D143" i="7"/>
  <c r="E143" i="7"/>
  <c r="F143" i="7"/>
  <c r="A144" i="7"/>
  <c r="B144" i="7"/>
  <c r="C144" i="7"/>
  <c r="D144" i="7"/>
  <c r="E144" i="7"/>
  <c r="F144" i="7"/>
  <c r="A145" i="7"/>
  <c r="B145" i="7"/>
  <c r="C145" i="7"/>
  <c r="D145" i="7"/>
  <c r="E145" i="7"/>
  <c r="F145" i="7"/>
  <c r="A146" i="7"/>
  <c r="B146" i="7"/>
  <c r="C146" i="7"/>
  <c r="D146" i="7"/>
  <c r="E146" i="7"/>
  <c r="F146" i="7"/>
  <c r="A147" i="7"/>
  <c r="B147" i="7"/>
  <c r="C147" i="7"/>
  <c r="D147" i="7"/>
  <c r="E147" i="7"/>
  <c r="F147" i="7"/>
  <c r="A148" i="7"/>
  <c r="B148" i="7"/>
  <c r="C148" i="7"/>
  <c r="D148" i="7"/>
  <c r="E148" i="7"/>
  <c r="F148" i="7"/>
  <c r="A149" i="7"/>
  <c r="B149" i="7"/>
  <c r="C149" i="7"/>
  <c r="D149" i="7"/>
  <c r="E149" i="7"/>
  <c r="F149" i="7"/>
  <c r="A150" i="7"/>
  <c r="B150" i="7"/>
  <c r="C150" i="7"/>
  <c r="D150" i="7"/>
  <c r="E150" i="7"/>
  <c r="F150" i="7"/>
  <c r="A151" i="7"/>
  <c r="B151" i="7"/>
  <c r="C151" i="7"/>
  <c r="D151" i="7"/>
  <c r="E151" i="7"/>
  <c r="F151" i="7"/>
  <c r="A152" i="7"/>
  <c r="B152" i="7"/>
  <c r="C152" i="7"/>
  <c r="D152" i="7"/>
  <c r="E152" i="7"/>
  <c r="F152" i="7"/>
  <c r="A153" i="7"/>
  <c r="B153" i="7"/>
  <c r="C153" i="7"/>
  <c r="D153" i="7"/>
  <c r="E153" i="7"/>
  <c r="F153" i="7"/>
  <c r="A154" i="7"/>
  <c r="B154" i="7"/>
  <c r="C154" i="7"/>
  <c r="D154" i="7"/>
  <c r="E154" i="7"/>
  <c r="F154" i="7"/>
  <c r="A155" i="7"/>
  <c r="B155" i="7"/>
  <c r="C155" i="7"/>
  <c r="D155" i="7"/>
  <c r="E155" i="7"/>
  <c r="F155" i="7"/>
  <c r="A156" i="7"/>
  <c r="B156" i="7"/>
  <c r="C156" i="7"/>
  <c r="D156" i="7"/>
  <c r="E156" i="7"/>
  <c r="F156" i="7"/>
  <c r="A157" i="7"/>
  <c r="B157" i="7"/>
  <c r="C157" i="7"/>
  <c r="D157" i="7"/>
  <c r="E157" i="7"/>
  <c r="F157" i="7"/>
  <c r="A158" i="7"/>
  <c r="B158" i="7"/>
  <c r="C158" i="7"/>
  <c r="D158" i="7"/>
  <c r="E158" i="7"/>
  <c r="F158" i="7"/>
  <c r="A159" i="7"/>
  <c r="B159" i="7"/>
  <c r="C159" i="7"/>
  <c r="D159" i="7"/>
  <c r="E159" i="7"/>
  <c r="F159" i="7"/>
  <c r="A160" i="7"/>
  <c r="B160" i="7"/>
  <c r="C160" i="7"/>
  <c r="D160" i="7"/>
  <c r="E160" i="7"/>
  <c r="F160" i="7"/>
  <c r="A161" i="7"/>
  <c r="B161" i="7"/>
  <c r="C161" i="7"/>
  <c r="D161" i="7"/>
  <c r="E161" i="7"/>
  <c r="F161" i="7"/>
  <c r="A162" i="7"/>
  <c r="B162" i="7"/>
  <c r="C162" i="7"/>
  <c r="D162" i="7"/>
  <c r="E162" i="7"/>
  <c r="F162" i="7"/>
  <c r="A163" i="7"/>
  <c r="B163" i="7"/>
  <c r="C163" i="7"/>
  <c r="D163" i="7"/>
  <c r="E163" i="7"/>
  <c r="F163" i="7"/>
  <c r="A164" i="7"/>
  <c r="B164" i="7"/>
  <c r="C164" i="7"/>
  <c r="D164" i="7"/>
  <c r="E164" i="7"/>
  <c r="F164" i="7"/>
  <c r="A165" i="7"/>
  <c r="B165" i="7"/>
  <c r="C165" i="7"/>
  <c r="D165" i="7"/>
  <c r="E165" i="7"/>
  <c r="F165" i="7"/>
  <c r="A166" i="7"/>
  <c r="B166" i="7"/>
  <c r="C166" i="7"/>
  <c r="D166" i="7"/>
  <c r="E166" i="7"/>
  <c r="F166" i="7"/>
  <c r="A167" i="7"/>
  <c r="B167" i="7"/>
  <c r="C167" i="7"/>
  <c r="D167" i="7"/>
  <c r="E167" i="7"/>
  <c r="F167" i="7"/>
  <c r="A168" i="7"/>
  <c r="B168" i="7"/>
  <c r="C168" i="7"/>
  <c r="D168" i="7"/>
  <c r="E168" i="7"/>
  <c r="F168" i="7"/>
  <c r="A169" i="7"/>
  <c r="B169" i="7"/>
  <c r="C169" i="7"/>
  <c r="D169" i="7"/>
  <c r="E169" i="7"/>
  <c r="F169" i="7"/>
  <c r="A170" i="7"/>
  <c r="B170" i="7"/>
  <c r="C170" i="7"/>
  <c r="D170" i="7"/>
  <c r="E170" i="7"/>
  <c r="F170" i="7"/>
  <c r="A171" i="7"/>
  <c r="B171" i="7"/>
  <c r="C171" i="7"/>
  <c r="D171" i="7"/>
  <c r="E171" i="7"/>
  <c r="F171" i="7"/>
  <c r="A172" i="7"/>
  <c r="B172" i="7"/>
  <c r="C172" i="7"/>
  <c r="D172" i="7"/>
  <c r="E172" i="7"/>
  <c r="F172" i="7"/>
  <c r="A173" i="7"/>
  <c r="B173" i="7"/>
  <c r="C173" i="7"/>
  <c r="D173" i="7"/>
  <c r="E173" i="7"/>
  <c r="F173" i="7"/>
  <c r="A174" i="7"/>
  <c r="B174" i="7"/>
  <c r="C174" i="7"/>
  <c r="D174" i="7"/>
  <c r="E174" i="7"/>
  <c r="F174" i="7"/>
  <c r="A175" i="7"/>
  <c r="B175" i="7"/>
  <c r="C175" i="7"/>
  <c r="D175" i="7"/>
  <c r="E175" i="7"/>
  <c r="F175" i="7"/>
  <c r="A176" i="7"/>
  <c r="B176" i="7"/>
  <c r="C176" i="7"/>
  <c r="D176" i="7"/>
  <c r="E176" i="7"/>
  <c r="F176" i="7"/>
  <c r="A177" i="7"/>
  <c r="B177" i="7"/>
  <c r="C177" i="7"/>
  <c r="D177" i="7"/>
  <c r="E177" i="7"/>
  <c r="F177" i="7"/>
  <c r="A178" i="7"/>
  <c r="B178" i="7"/>
  <c r="C178" i="7"/>
  <c r="D178" i="7"/>
  <c r="E178" i="7"/>
  <c r="F178" i="7"/>
  <c r="A179" i="7"/>
  <c r="B179" i="7"/>
  <c r="C179" i="7"/>
  <c r="D179" i="7"/>
  <c r="E179" i="7"/>
  <c r="F179" i="7"/>
  <c r="A180" i="7"/>
  <c r="B180" i="7"/>
  <c r="C180" i="7"/>
  <c r="D180" i="7"/>
  <c r="E180" i="7"/>
  <c r="F180" i="7"/>
  <c r="A181" i="7"/>
  <c r="B181" i="7"/>
  <c r="C181" i="7"/>
  <c r="D181" i="7"/>
  <c r="E181" i="7"/>
  <c r="F181" i="7"/>
  <c r="A182" i="7"/>
  <c r="B182" i="7"/>
  <c r="C182" i="7"/>
  <c r="D182" i="7"/>
  <c r="E182" i="7"/>
  <c r="F182" i="7"/>
  <c r="A183" i="7"/>
  <c r="B183" i="7"/>
  <c r="C183" i="7"/>
  <c r="D183" i="7"/>
  <c r="E183" i="7"/>
  <c r="F183" i="7"/>
  <c r="A184" i="7"/>
  <c r="B184" i="7"/>
  <c r="C184" i="7"/>
  <c r="D184" i="7"/>
  <c r="E184" i="7"/>
  <c r="F184" i="7"/>
  <c r="A185" i="7"/>
  <c r="B185" i="7"/>
  <c r="C185" i="7"/>
  <c r="D185" i="7"/>
  <c r="E185" i="7"/>
  <c r="F185" i="7"/>
  <c r="A186" i="7"/>
  <c r="B186" i="7"/>
  <c r="C186" i="7"/>
  <c r="D186" i="7"/>
  <c r="E186" i="7"/>
  <c r="F186" i="7"/>
  <c r="A187" i="7"/>
  <c r="B187" i="7"/>
  <c r="C187" i="7"/>
  <c r="D187" i="7"/>
  <c r="E187" i="7"/>
  <c r="F187" i="7"/>
  <c r="A188" i="7"/>
  <c r="B188" i="7"/>
  <c r="C188" i="7"/>
  <c r="D188" i="7"/>
  <c r="E188" i="7"/>
  <c r="F188" i="7"/>
  <c r="A189" i="7"/>
  <c r="B189" i="7"/>
  <c r="C189" i="7"/>
  <c r="D189" i="7"/>
  <c r="E189" i="7"/>
  <c r="F189" i="7"/>
  <c r="A190" i="7"/>
  <c r="B190" i="7"/>
  <c r="C190" i="7"/>
  <c r="D190" i="7"/>
  <c r="E190" i="7"/>
  <c r="F190" i="7"/>
  <c r="A191" i="7"/>
  <c r="B191" i="7"/>
  <c r="C191" i="7"/>
  <c r="D191" i="7"/>
  <c r="E191" i="7"/>
  <c r="F191" i="7"/>
  <c r="A192" i="7"/>
  <c r="B192" i="7"/>
  <c r="C192" i="7"/>
  <c r="D192" i="7"/>
  <c r="E192" i="7"/>
  <c r="F192" i="7"/>
  <c r="A193" i="7"/>
  <c r="B193" i="7"/>
  <c r="C193" i="7"/>
  <c r="D193" i="7"/>
  <c r="E193" i="7"/>
  <c r="F193" i="7"/>
  <c r="A194" i="7"/>
  <c r="B194" i="7"/>
  <c r="C194" i="7"/>
  <c r="D194" i="7"/>
  <c r="E194" i="7"/>
  <c r="F194" i="7"/>
  <c r="A195" i="7"/>
  <c r="B195" i="7"/>
  <c r="C195" i="7"/>
  <c r="D195" i="7"/>
  <c r="E195" i="7"/>
  <c r="F195" i="7"/>
  <c r="A196" i="7"/>
  <c r="B196" i="7"/>
  <c r="C196" i="7"/>
  <c r="D196" i="7"/>
  <c r="E196" i="7"/>
  <c r="F196" i="7"/>
  <c r="A197" i="7"/>
  <c r="B197" i="7"/>
  <c r="C197" i="7"/>
  <c r="D197" i="7"/>
  <c r="E197" i="7"/>
  <c r="F197" i="7"/>
  <c r="A198" i="7"/>
  <c r="B198" i="7"/>
  <c r="C198" i="7"/>
  <c r="D198" i="7"/>
  <c r="E198" i="7"/>
  <c r="F198" i="7"/>
  <c r="A199" i="7"/>
  <c r="B199" i="7"/>
  <c r="C199" i="7"/>
  <c r="D199" i="7"/>
  <c r="E199" i="7"/>
  <c r="F199" i="7"/>
  <c r="A200" i="7"/>
  <c r="B200" i="7"/>
  <c r="C200" i="7"/>
  <c r="D200" i="7"/>
  <c r="E200" i="7"/>
  <c r="F200" i="7"/>
  <c r="A201" i="7"/>
  <c r="B201" i="7"/>
  <c r="C201" i="7"/>
  <c r="D201" i="7"/>
  <c r="E201" i="7"/>
  <c r="F201" i="7"/>
  <c r="A202" i="7"/>
  <c r="B202" i="7"/>
  <c r="C202" i="7"/>
  <c r="D202" i="7"/>
  <c r="E202" i="7"/>
  <c r="F202" i="7"/>
  <c r="A203" i="7"/>
  <c r="B203" i="7"/>
  <c r="C203" i="7"/>
  <c r="D203" i="7"/>
  <c r="E203" i="7"/>
  <c r="F203" i="7"/>
  <c r="A204" i="7"/>
  <c r="B204" i="7"/>
  <c r="C204" i="7"/>
  <c r="D204" i="7"/>
  <c r="E204" i="7"/>
  <c r="F204" i="7"/>
  <c r="A205" i="7"/>
  <c r="B205" i="7"/>
  <c r="C205" i="7"/>
  <c r="D205" i="7"/>
  <c r="E205" i="7"/>
  <c r="F205" i="7"/>
  <c r="A206" i="7"/>
  <c r="B206" i="7"/>
  <c r="C206" i="7"/>
  <c r="D206" i="7"/>
  <c r="E206" i="7"/>
  <c r="F206" i="7"/>
  <c r="A207" i="7"/>
  <c r="B207" i="7"/>
  <c r="C207" i="7"/>
  <c r="D207" i="7"/>
  <c r="E207" i="7"/>
  <c r="F207" i="7"/>
  <c r="A208" i="7"/>
  <c r="B208" i="7"/>
  <c r="C208" i="7"/>
  <c r="D208" i="7"/>
  <c r="E208" i="7"/>
  <c r="F208" i="7"/>
  <c r="A209" i="7"/>
  <c r="B209" i="7"/>
  <c r="C209" i="7"/>
  <c r="D209" i="7"/>
  <c r="E209" i="7"/>
  <c r="F209" i="7"/>
  <c r="A210" i="7"/>
  <c r="B210" i="7"/>
  <c r="C210" i="7"/>
  <c r="D210" i="7"/>
  <c r="E210" i="7"/>
  <c r="F210" i="7"/>
  <c r="A211" i="7"/>
  <c r="B211" i="7"/>
  <c r="C211" i="7"/>
  <c r="D211" i="7"/>
  <c r="E211" i="7"/>
  <c r="F211" i="7"/>
  <c r="A212" i="7"/>
  <c r="B212" i="7"/>
  <c r="C212" i="7"/>
  <c r="D212" i="7"/>
  <c r="E212" i="7"/>
  <c r="F212" i="7"/>
  <c r="A213" i="7"/>
  <c r="B213" i="7"/>
  <c r="C213" i="7"/>
  <c r="D213" i="7"/>
  <c r="E213" i="7"/>
  <c r="F213" i="7"/>
  <c r="A214" i="7"/>
  <c r="B214" i="7"/>
  <c r="C214" i="7"/>
  <c r="D214" i="7"/>
  <c r="E214" i="7"/>
  <c r="F214" i="7"/>
  <c r="A215" i="7"/>
  <c r="B215" i="7"/>
  <c r="C215" i="7"/>
  <c r="D215" i="7"/>
  <c r="E215" i="7"/>
  <c r="F215" i="7"/>
  <c r="A216" i="7"/>
  <c r="B216" i="7"/>
  <c r="C216" i="7"/>
  <c r="D216" i="7"/>
  <c r="E216" i="7"/>
  <c r="F216" i="7"/>
  <c r="A217" i="7"/>
  <c r="B217" i="7"/>
  <c r="C217" i="7"/>
  <c r="D217" i="7"/>
  <c r="E217" i="7"/>
  <c r="F217" i="7"/>
  <c r="A218" i="7"/>
  <c r="B218" i="7"/>
  <c r="C218" i="7"/>
  <c r="D218" i="7"/>
  <c r="E218" i="7"/>
  <c r="F218" i="7"/>
  <c r="A219" i="7"/>
  <c r="B219" i="7"/>
  <c r="C219" i="7"/>
  <c r="D219" i="7"/>
  <c r="E219" i="7"/>
  <c r="F219" i="7"/>
  <c r="A220" i="7"/>
  <c r="B220" i="7"/>
  <c r="C220" i="7"/>
  <c r="D220" i="7"/>
  <c r="E220" i="7"/>
  <c r="F220" i="7"/>
  <c r="A221" i="7"/>
  <c r="B221" i="7"/>
  <c r="C221" i="7"/>
  <c r="D221" i="7"/>
  <c r="E221" i="7"/>
  <c r="F221" i="7"/>
  <c r="A222" i="7"/>
  <c r="B222" i="7"/>
  <c r="C222" i="7"/>
  <c r="D222" i="7"/>
  <c r="E222" i="7"/>
  <c r="F222" i="7"/>
  <c r="A223" i="7"/>
  <c r="B223" i="7"/>
  <c r="C223" i="7"/>
  <c r="D223" i="7"/>
  <c r="E223" i="7"/>
  <c r="F223" i="7"/>
  <c r="A224" i="7"/>
  <c r="B224" i="7"/>
  <c r="C224" i="7"/>
  <c r="D224" i="7"/>
  <c r="E224" i="7"/>
  <c r="F224" i="7"/>
  <c r="A225" i="7"/>
  <c r="B225" i="7"/>
  <c r="C225" i="7"/>
  <c r="D225" i="7"/>
  <c r="E225" i="7"/>
  <c r="F225" i="7"/>
  <c r="A226" i="7"/>
  <c r="B226" i="7"/>
  <c r="C226" i="7"/>
  <c r="D226" i="7"/>
  <c r="E226" i="7"/>
  <c r="F226" i="7"/>
  <c r="A227" i="7"/>
  <c r="B227" i="7"/>
  <c r="C227" i="7"/>
  <c r="D227" i="7"/>
  <c r="E227" i="7"/>
  <c r="F227" i="7"/>
  <c r="A228" i="7"/>
  <c r="B228" i="7"/>
  <c r="C228" i="7"/>
  <c r="D228" i="7"/>
  <c r="E228" i="7"/>
  <c r="F228" i="7"/>
  <c r="A229" i="7"/>
  <c r="B229" i="7"/>
  <c r="C229" i="7"/>
  <c r="D229" i="7"/>
  <c r="E229" i="7"/>
  <c r="F229" i="7"/>
  <c r="A230" i="7"/>
  <c r="B230" i="7"/>
  <c r="C230" i="7"/>
  <c r="D230" i="7"/>
  <c r="E230" i="7"/>
  <c r="F230" i="7"/>
  <c r="A231" i="7"/>
  <c r="B231" i="7"/>
  <c r="C231" i="7"/>
  <c r="D231" i="7"/>
  <c r="E231" i="7"/>
  <c r="F231" i="7"/>
  <c r="A232" i="7"/>
  <c r="B232" i="7"/>
  <c r="C232" i="7"/>
  <c r="D232" i="7"/>
  <c r="E232" i="7"/>
  <c r="F232" i="7"/>
  <c r="A233" i="7"/>
  <c r="B233" i="7"/>
  <c r="C233" i="7"/>
  <c r="D233" i="7"/>
  <c r="E233" i="7"/>
  <c r="F233" i="7"/>
  <c r="A234" i="7"/>
  <c r="B234" i="7"/>
  <c r="C234" i="7"/>
  <c r="D234" i="7"/>
  <c r="E234" i="7"/>
  <c r="F234" i="7"/>
  <c r="A235" i="7"/>
  <c r="B235" i="7"/>
  <c r="C235" i="7"/>
  <c r="D235" i="7"/>
  <c r="E235" i="7"/>
  <c r="F235" i="7"/>
  <c r="A236" i="7"/>
  <c r="B236" i="7"/>
  <c r="C236" i="7"/>
  <c r="D236" i="7"/>
  <c r="E236" i="7"/>
  <c r="F236" i="7"/>
  <c r="A237" i="7"/>
  <c r="B237" i="7"/>
  <c r="C237" i="7"/>
  <c r="D237" i="7"/>
  <c r="E237" i="7"/>
  <c r="F237" i="7"/>
  <c r="A238" i="7"/>
  <c r="B238" i="7"/>
  <c r="C238" i="7"/>
  <c r="D238" i="7"/>
  <c r="E238" i="7"/>
  <c r="F238" i="7"/>
  <c r="A239" i="7"/>
  <c r="B239" i="7"/>
  <c r="C239" i="7"/>
  <c r="D239" i="7"/>
  <c r="E239" i="7"/>
  <c r="F239" i="7"/>
  <c r="A240" i="7"/>
  <c r="B240" i="7"/>
  <c r="C240" i="7"/>
  <c r="D240" i="7"/>
  <c r="E240" i="7"/>
  <c r="F240" i="7"/>
  <c r="A241" i="7"/>
  <c r="B241" i="7"/>
  <c r="C241" i="7"/>
  <c r="D241" i="7"/>
  <c r="E241" i="7"/>
  <c r="F241" i="7"/>
  <c r="A242" i="7"/>
  <c r="B242" i="7"/>
  <c r="C242" i="7"/>
  <c r="D242" i="7"/>
  <c r="E242" i="7"/>
  <c r="F242" i="7"/>
  <c r="A243" i="7"/>
  <c r="B243" i="7"/>
  <c r="C243" i="7"/>
  <c r="D243" i="7"/>
  <c r="E243" i="7"/>
  <c r="F243" i="7"/>
  <c r="A244" i="7"/>
  <c r="B244" i="7"/>
  <c r="C244" i="7"/>
  <c r="D244" i="7"/>
  <c r="E244" i="7"/>
  <c r="F244" i="7"/>
  <c r="A245" i="7"/>
  <c r="B245" i="7"/>
  <c r="C245" i="7"/>
  <c r="D245" i="7"/>
  <c r="E245" i="7"/>
  <c r="F245" i="7"/>
  <c r="A246" i="7"/>
  <c r="B246" i="7"/>
  <c r="C246" i="7"/>
  <c r="D246" i="7"/>
  <c r="E246" i="7"/>
  <c r="F246" i="7"/>
  <c r="A247" i="7"/>
  <c r="B247" i="7"/>
  <c r="C247" i="7"/>
  <c r="D247" i="7"/>
  <c r="E247" i="7"/>
  <c r="F247" i="7"/>
  <c r="A248" i="7"/>
  <c r="B248" i="7"/>
  <c r="C248" i="7"/>
  <c r="D248" i="7"/>
  <c r="E248" i="7"/>
  <c r="F248" i="7"/>
  <c r="A249" i="7"/>
  <c r="B249" i="7"/>
  <c r="C249" i="7"/>
  <c r="D249" i="7"/>
  <c r="E249" i="7"/>
  <c r="F249" i="7"/>
  <c r="A250" i="7"/>
  <c r="B250" i="7"/>
  <c r="C250" i="7"/>
  <c r="D250" i="7"/>
  <c r="E250" i="7"/>
  <c r="F250" i="7"/>
  <c r="A251" i="7"/>
  <c r="B251" i="7"/>
  <c r="C251" i="7"/>
  <c r="D251" i="7"/>
  <c r="E251" i="7"/>
  <c r="F251" i="7"/>
  <c r="A252" i="7"/>
  <c r="B252" i="7"/>
  <c r="C252" i="7"/>
  <c r="D252" i="7"/>
  <c r="E252" i="7"/>
  <c r="F252" i="7"/>
  <c r="A253" i="7"/>
  <c r="B253" i="7"/>
  <c r="C253" i="7"/>
  <c r="D253" i="7"/>
  <c r="E253" i="7"/>
  <c r="F253" i="7"/>
  <c r="A254" i="7"/>
  <c r="B254" i="7"/>
  <c r="C254" i="7"/>
  <c r="D254" i="7"/>
  <c r="E254" i="7"/>
  <c r="F254" i="7"/>
  <c r="A255" i="7"/>
  <c r="B255" i="7"/>
  <c r="C255" i="7"/>
  <c r="D255" i="7"/>
  <c r="E255" i="7"/>
  <c r="F255" i="7"/>
  <c r="A256" i="7"/>
  <c r="B256" i="7"/>
  <c r="C256" i="7"/>
  <c r="D256" i="7"/>
  <c r="E256" i="7"/>
  <c r="F256" i="7"/>
  <c r="A257" i="7"/>
  <c r="B257" i="7"/>
  <c r="C257" i="7"/>
  <c r="D257" i="7"/>
  <c r="E257" i="7"/>
  <c r="F257" i="7"/>
  <c r="A258" i="7"/>
  <c r="B258" i="7"/>
  <c r="C258" i="7"/>
  <c r="D258" i="7"/>
  <c r="E258" i="7"/>
  <c r="F258" i="7"/>
  <c r="A259" i="7"/>
  <c r="B259" i="7"/>
  <c r="C259" i="7"/>
  <c r="D259" i="7"/>
  <c r="E259" i="7"/>
  <c r="F259" i="7"/>
  <c r="A260" i="7"/>
  <c r="B260" i="7"/>
  <c r="C260" i="7"/>
  <c r="D260" i="7"/>
  <c r="E260" i="7"/>
  <c r="F260" i="7"/>
  <c r="A261" i="7"/>
  <c r="B261" i="7"/>
  <c r="C261" i="7"/>
  <c r="D261" i="7"/>
  <c r="E261" i="7"/>
  <c r="F261" i="7"/>
  <c r="A262" i="7"/>
  <c r="B262" i="7"/>
  <c r="C262" i="7"/>
  <c r="D262" i="7"/>
  <c r="E262" i="7"/>
  <c r="F262" i="7"/>
  <c r="A263" i="7"/>
  <c r="B263" i="7"/>
  <c r="C263" i="7"/>
  <c r="D263" i="7"/>
  <c r="E263" i="7"/>
  <c r="F263" i="7"/>
  <c r="A264" i="7"/>
  <c r="B264" i="7"/>
  <c r="C264" i="7"/>
  <c r="D264" i="7"/>
  <c r="E264" i="7"/>
  <c r="F264" i="7"/>
  <c r="A265" i="7"/>
  <c r="B265" i="7"/>
  <c r="C265" i="7"/>
  <c r="D265" i="7"/>
  <c r="E265" i="7"/>
  <c r="F265" i="7"/>
  <c r="A266" i="7"/>
  <c r="B266" i="7"/>
  <c r="C266" i="7"/>
  <c r="D266" i="7"/>
  <c r="E266" i="7"/>
  <c r="F266" i="7"/>
  <c r="A267" i="7"/>
  <c r="B267" i="7"/>
  <c r="C267" i="7"/>
  <c r="D267" i="7"/>
  <c r="E267" i="7"/>
  <c r="F267" i="7"/>
  <c r="A268" i="7"/>
  <c r="B268" i="7"/>
  <c r="C268" i="7"/>
  <c r="D268" i="7"/>
  <c r="E268" i="7"/>
  <c r="F268" i="7"/>
  <c r="A269" i="7"/>
  <c r="B269" i="7"/>
  <c r="C269" i="7"/>
  <c r="D269" i="7"/>
  <c r="E269" i="7"/>
  <c r="F269" i="7"/>
  <c r="A270" i="7"/>
  <c r="B270" i="7"/>
  <c r="C270" i="7"/>
  <c r="D270" i="7"/>
  <c r="E270" i="7"/>
  <c r="F270" i="7"/>
  <c r="A271" i="7"/>
  <c r="B271" i="7"/>
  <c r="C271" i="7"/>
  <c r="D271" i="7"/>
  <c r="E271" i="7"/>
  <c r="F271" i="7"/>
  <c r="A272" i="7"/>
  <c r="B272" i="7"/>
  <c r="C272" i="7"/>
  <c r="D272" i="7"/>
  <c r="E272" i="7"/>
  <c r="F272" i="7"/>
  <c r="A273" i="7"/>
  <c r="B273" i="7"/>
  <c r="C273" i="7"/>
  <c r="D273" i="7"/>
  <c r="E273" i="7"/>
  <c r="F273" i="7"/>
  <c r="A274" i="7"/>
  <c r="B274" i="7"/>
  <c r="C274" i="7"/>
  <c r="D274" i="7"/>
  <c r="E274" i="7"/>
  <c r="F274" i="7"/>
  <c r="A275" i="7"/>
  <c r="B275" i="7"/>
  <c r="C275" i="7"/>
  <c r="D275" i="7"/>
  <c r="E275" i="7"/>
  <c r="F275" i="7"/>
  <c r="A276" i="7"/>
  <c r="B276" i="7"/>
  <c r="C276" i="7"/>
  <c r="D276" i="7"/>
  <c r="E276" i="7"/>
  <c r="F276" i="7"/>
  <c r="A277" i="7"/>
  <c r="B277" i="7"/>
  <c r="C277" i="7"/>
  <c r="D277" i="7"/>
  <c r="E277" i="7"/>
  <c r="F277" i="7"/>
  <c r="A278" i="7"/>
  <c r="B278" i="7"/>
  <c r="C278" i="7"/>
  <c r="D278" i="7"/>
  <c r="E278" i="7"/>
  <c r="F278" i="7"/>
  <c r="A279" i="7"/>
  <c r="B279" i="7"/>
  <c r="C279" i="7"/>
  <c r="D279" i="7"/>
  <c r="E279" i="7"/>
  <c r="F279" i="7"/>
  <c r="A280" i="7"/>
  <c r="B280" i="7"/>
  <c r="C280" i="7"/>
  <c r="D280" i="7"/>
  <c r="E280" i="7"/>
  <c r="F280" i="7"/>
  <c r="A281" i="7"/>
  <c r="B281" i="7"/>
  <c r="C281" i="7"/>
  <c r="D281" i="7"/>
  <c r="E281" i="7"/>
  <c r="F281" i="7"/>
  <c r="A282" i="7"/>
  <c r="B282" i="7"/>
  <c r="C282" i="7"/>
  <c r="D282" i="7"/>
  <c r="E282" i="7"/>
  <c r="F282" i="7"/>
  <c r="A283" i="7"/>
  <c r="B283" i="7"/>
  <c r="C283" i="7"/>
  <c r="D283" i="7"/>
  <c r="E283" i="7"/>
  <c r="F283" i="7"/>
  <c r="A284" i="7"/>
  <c r="B284" i="7"/>
  <c r="C284" i="7"/>
  <c r="D284" i="7"/>
  <c r="E284" i="7"/>
  <c r="F284" i="7"/>
  <c r="A285" i="7"/>
  <c r="B285" i="7"/>
  <c r="C285" i="7"/>
  <c r="D285" i="7"/>
  <c r="E285" i="7"/>
  <c r="F285" i="7"/>
  <c r="A286" i="7"/>
  <c r="B286" i="7"/>
  <c r="C286" i="7"/>
  <c r="D286" i="7"/>
  <c r="E286" i="7"/>
  <c r="F286" i="7"/>
  <c r="A287" i="7"/>
  <c r="B287" i="7"/>
  <c r="C287" i="7"/>
  <c r="D287" i="7"/>
  <c r="E287" i="7"/>
  <c r="F287" i="7"/>
  <c r="A288" i="7"/>
  <c r="B288" i="7"/>
  <c r="C288" i="7"/>
  <c r="D288" i="7"/>
  <c r="E288" i="7"/>
  <c r="F288" i="7"/>
  <c r="A289" i="7"/>
  <c r="B289" i="7"/>
  <c r="C289" i="7"/>
  <c r="D289" i="7"/>
  <c r="E289" i="7"/>
  <c r="F289" i="7"/>
  <c r="A290" i="7"/>
  <c r="B290" i="7"/>
  <c r="C290" i="7"/>
  <c r="D290" i="7"/>
  <c r="E290" i="7"/>
  <c r="F290" i="7"/>
  <c r="A291" i="7"/>
  <c r="B291" i="7"/>
  <c r="C291" i="7"/>
  <c r="D291" i="7"/>
  <c r="E291" i="7"/>
  <c r="F291" i="7"/>
  <c r="A292" i="7"/>
  <c r="B292" i="7"/>
  <c r="C292" i="7"/>
  <c r="D292" i="7"/>
  <c r="E292" i="7"/>
  <c r="F292" i="7"/>
  <c r="A293" i="7"/>
  <c r="B293" i="7"/>
  <c r="C293" i="7"/>
  <c r="D293" i="7"/>
  <c r="E293" i="7"/>
  <c r="F293" i="7"/>
  <c r="A294" i="7"/>
  <c r="B294" i="7"/>
  <c r="C294" i="7"/>
  <c r="D294" i="7"/>
  <c r="E294" i="7"/>
  <c r="F294" i="7"/>
  <c r="A295" i="7"/>
  <c r="B295" i="7"/>
  <c r="C295" i="7"/>
  <c r="D295" i="7"/>
  <c r="E295" i="7"/>
  <c r="F295" i="7"/>
  <c r="A296" i="7"/>
  <c r="B296" i="7"/>
  <c r="C296" i="7"/>
  <c r="D296" i="7"/>
  <c r="E296" i="7"/>
  <c r="F296" i="7"/>
  <c r="A297" i="7"/>
  <c r="B297" i="7"/>
  <c r="C297" i="7"/>
  <c r="D297" i="7"/>
  <c r="E297" i="7"/>
  <c r="F297" i="7"/>
  <c r="A298" i="7"/>
  <c r="B298" i="7"/>
  <c r="C298" i="7"/>
  <c r="D298" i="7"/>
  <c r="E298" i="7"/>
  <c r="F298" i="7"/>
  <c r="A299" i="7"/>
  <c r="B299" i="7"/>
  <c r="C299" i="7"/>
  <c r="D299" i="7"/>
  <c r="E299" i="7"/>
  <c r="F299" i="7"/>
  <c r="A300" i="7"/>
  <c r="B300" i="7"/>
  <c r="C300" i="7"/>
  <c r="D300" i="7"/>
  <c r="E300" i="7"/>
  <c r="F300" i="7"/>
  <c r="A301" i="7"/>
  <c r="B301" i="7"/>
  <c r="C301" i="7"/>
  <c r="D301" i="7"/>
  <c r="E301" i="7"/>
  <c r="F301" i="7"/>
  <c r="A302" i="7"/>
  <c r="B302" i="7"/>
  <c r="C302" i="7"/>
  <c r="D302" i="7"/>
  <c r="E302" i="7"/>
  <c r="F302" i="7"/>
  <c r="A303" i="7"/>
  <c r="B303" i="7"/>
  <c r="C303" i="7"/>
  <c r="D303" i="7"/>
  <c r="E303" i="7"/>
  <c r="F303" i="7"/>
  <c r="A304" i="7"/>
  <c r="B304" i="7"/>
  <c r="C304" i="7"/>
  <c r="D304" i="7"/>
  <c r="E304" i="7"/>
  <c r="F304" i="7"/>
  <c r="A305" i="7"/>
  <c r="B305" i="7"/>
  <c r="C305" i="7"/>
  <c r="D305" i="7"/>
  <c r="E305" i="7"/>
  <c r="F305" i="7"/>
  <c r="A306" i="7"/>
  <c r="B306" i="7"/>
  <c r="C306" i="7"/>
  <c r="D306" i="7"/>
  <c r="E306" i="7"/>
  <c r="F306" i="7"/>
  <c r="A307" i="7"/>
  <c r="B307" i="7"/>
  <c r="C307" i="7"/>
  <c r="D307" i="7"/>
  <c r="E307" i="7"/>
  <c r="F307" i="7"/>
  <c r="A308" i="7"/>
  <c r="B308" i="7"/>
  <c r="C308" i="7"/>
  <c r="D308" i="7"/>
  <c r="E308" i="7"/>
  <c r="F308" i="7"/>
  <c r="A309" i="7"/>
  <c r="B309" i="7"/>
  <c r="C309" i="7"/>
  <c r="D309" i="7"/>
  <c r="E309" i="7"/>
  <c r="F309" i="7"/>
  <c r="A310" i="7"/>
  <c r="B310" i="7"/>
  <c r="C310" i="7"/>
  <c r="D310" i="7"/>
  <c r="E310" i="7"/>
  <c r="F310" i="7"/>
  <c r="A311" i="7"/>
  <c r="B311" i="7"/>
  <c r="C311" i="7"/>
  <c r="D311" i="7"/>
  <c r="E311" i="7"/>
  <c r="F311" i="7"/>
  <c r="A312" i="7"/>
  <c r="B312" i="7"/>
  <c r="C312" i="7"/>
  <c r="D312" i="7"/>
  <c r="E312" i="7"/>
  <c r="F312" i="7"/>
  <c r="A313" i="7"/>
  <c r="B313" i="7"/>
  <c r="C313" i="7"/>
  <c r="D313" i="7"/>
  <c r="E313" i="7"/>
  <c r="F313" i="7"/>
  <c r="A314" i="7"/>
  <c r="B314" i="7"/>
  <c r="C314" i="7"/>
  <c r="D314" i="7"/>
  <c r="E314" i="7"/>
  <c r="F314" i="7"/>
  <c r="A315" i="7"/>
  <c r="B315" i="7"/>
  <c r="C315" i="7"/>
  <c r="D315" i="7"/>
  <c r="E315" i="7"/>
  <c r="F315" i="7"/>
  <c r="A316" i="7"/>
  <c r="B316" i="7"/>
  <c r="C316" i="7"/>
  <c r="D316" i="7"/>
  <c r="E316" i="7"/>
  <c r="F316" i="7"/>
  <c r="A317" i="7"/>
  <c r="B317" i="7"/>
  <c r="C317" i="7"/>
  <c r="D317" i="7"/>
  <c r="E317" i="7"/>
  <c r="F317" i="7"/>
  <c r="A318" i="7"/>
  <c r="B318" i="7"/>
  <c r="C318" i="7"/>
  <c r="D318" i="7"/>
  <c r="E318" i="7"/>
  <c r="F318" i="7"/>
  <c r="A319" i="7"/>
  <c r="B319" i="7"/>
  <c r="C319" i="7"/>
  <c r="D319" i="7"/>
  <c r="E319" i="7"/>
  <c r="F319" i="7"/>
  <c r="A320" i="7"/>
  <c r="B320" i="7"/>
  <c r="C320" i="7"/>
  <c r="D320" i="7"/>
  <c r="E320" i="7"/>
  <c r="F320" i="7"/>
  <c r="A321" i="7"/>
  <c r="B321" i="7"/>
  <c r="C321" i="7"/>
  <c r="D321" i="7"/>
  <c r="E321" i="7"/>
  <c r="F321" i="7"/>
  <c r="A322" i="7"/>
  <c r="B322" i="7"/>
  <c r="C322" i="7"/>
  <c r="D322" i="7"/>
  <c r="E322" i="7"/>
  <c r="F322" i="7"/>
  <c r="A323" i="7"/>
  <c r="B323" i="7"/>
  <c r="C323" i="7"/>
  <c r="D323" i="7"/>
  <c r="E323" i="7"/>
  <c r="F323" i="7"/>
  <c r="A324" i="7"/>
  <c r="B324" i="7"/>
  <c r="C324" i="7"/>
  <c r="D324" i="7"/>
  <c r="E324" i="7"/>
  <c r="F324" i="7"/>
  <c r="A325" i="7"/>
  <c r="B325" i="7"/>
  <c r="C325" i="7"/>
  <c r="D325" i="7"/>
  <c r="E325" i="7"/>
  <c r="F325" i="7"/>
  <c r="A326" i="7"/>
  <c r="B326" i="7"/>
  <c r="C326" i="7"/>
  <c r="D326" i="7"/>
  <c r="E326" i="7"/>
  <c r="F326" i="7"/>
  <c r="A327" i="7"/>
  <c r="B327" i="7"/>
  <c r="C327" i="7"/>
  <c r="D327" i="7"/>
  <c r="E327" i="7"/>
  <c r="F327" i="7"/>
  <c r="A328" i="7"/>
  <c r="B328" i="7"/>
  <c r="C328" i="7"/>
  <c r="D328" i="7"/>
  <c r="E328" i="7"/>
  <c r="F328" i="7"/>
  <c r="A329" i="7"/>
  <c r="B329" i="7"/>
  <c r="C329" i="7"/>
  <c r="D329" i="7"/>
  <c r="E329" i="7"/>
  <c r="F329" i="7"/>
  <c r="A330" i="7"/>
  <c r="B330" i="7"/>
  <c r="C330" i="7"/>
  <c r="D330" i="7"/>
  <c r="E330" i="7"/>
  <c r="F330" i="7"/>
  <c r="A331" i="7"/>
  <c r="B331" i="7"/>
  <c r="C331" i="7"/>
  <c r="D331" i="7"/>
  <c r="E331" i="7"/>
  <c r="F331" i="7"/>
  <c r="A332" i="7"/>
  <c r="B332" i="7"/>
  <c r="C332" i="7"/>
  <c r="D332" i="7"/>
  <c r="E332" i="7"/>
  <c r="F332" i="7"/>
  <c r="A333" i="7"/>
  <c r="B333" i="7"/>
  <c r="C333" i="7"/>
  <c r="D333" i="7"/>
  <c r="E333" i="7"/>
  <c r="F333" i="7"/>
  <c r="A334" i="7"/>
  <c r="B334" i="7"/>
  <c r="C334" i="7"/>
  <c r="D334" i="7"/>
  <c r="E334" i="7"/>
  <c r="F334" i="7"/>
  <c r="A335" i="7"/>
  <c r="B335" i="7"/>
  <c r="C335" i="7"/>
  <c r="D335" i="7"/>
  <c r="E335" i="7"/>
  <c r="F335" i="7"/>
  <c r="A336" i="7"/>
  <c r="B336" i="7"/>
  <c r="C336" i="7"/>
  <c r="D336" i="7"/>
  <c r="E336" i="7"/>
  <c r="F336" i="7"/>
  <c r="A337" i="7"/>
  <c r="B337" i="7"/>
  <c r="C337" i="7"/>
  <c r="D337" i="7"/>
  <c r="E337" i="7"/>
  <c r="F337" i="7"/>
  <c r="A338" i="7"/>
  <c r="B338" i="7"/>
  <c r="C338" i="7"/>
  <c r="D338" i="7"/>
  <c r="E338" i="7"/>
  <c r="F338" i="7"/>
  <c r="A339" i="7"/>
  <c r="B339" i="7"/>
  <c r="C339" i="7"/>
  <c r="D339" i="7"/>
  <c r="E339" i="7"/>
  <c r="F339" i="7"/>
  <c r="A340" i="7"/>
  <c r="B340" i="7"/>
  <c r="C340" i="7"/>
  <c r="D340" i="7"/>
  <c r="E340" i="7"/>
  <c r="F340" i="7"/>
  <c r="A341" i="7"/>
  <c r="B341" i="7"/>
  <c r="C341" i="7"/>
  <c r="D341" i="7"/>
  <c r="E341" i="7"/>
  <c r="F341" i="7"/>
  <c r="A342" i="7"/>
  <c r="B342" i="7"/>
  <c r="C342" i="7"/>
  <c r="D342" i="7"/>
  <c r="E342" i="7"/>
  <c r="F342" i="7"/>
  <c r="A343" i="7"/>
  <c r="B343" i="7"/>
  <c r="C343" i="7"/>
  <c r="D343" i="7"/>
  <c r="E343" i="7"/>
  <c r="F343" i="7"/>
  <c r="A344" i="7"/>
  <c r="B344" i="7"/>
  <c r="C344" i="7"/>
  <c r="D344" i="7"/>
  <c r="E344" i="7"/>
  <c r="F344" i="7"/>
  <c r="A345" i="7"/>
  <c r="B345" i="7"/>
  <c r="C345" i="7"/>
  <c r="D345" i="7"/>
  <c r="E345" i="7"/>
  <c r="F345" i="7"/>
  <c r="A346" i="7"/>
  <c r="B346" i="7"/>
  <c r="C346" i="7"/>
  <c r="D346" i="7"/>
  <c r="E346" i="7"/>
  <c r="F346" i="7"/>
  <c r="A347" i="7"/>
  <c r="B347" i="7"/>
  <c r="C347" i="7"/>
  <c r="D347" i="7"/>
  <c r="E347" i="7"/>
  <c r="F347" i="7"/>
  <c r="A348" i="7"/>
  <c r="B348" i="7"/>
  <c r="C348" i="7"/>
  <c r="D348" i="7"/>
  <c r="E348" i="7"/>
  <c r="F348" i="7"/>
  <c r="A349" i="7"/>
  <c r="B349" i="7"/>
  <c r="C349" i="7"/>
  <c r="D349" i="7"/>
  <c r="E349" i="7"/>
  <c r="F349" i="7"/>
  <c r="A350" i="7"/>
  <c r="B350" i="7"/>
  <c r="C350" i="7"/>
  <c r="D350" i="7"/>
  <c r="E350" i="7"/>
  <c r="F350" i="7"/>
  <c r="A351" i="7"/>
  <c r="B351" i="7"/>
  <c r="C351" i="7"/>
  <c r="D351" i="7"/>
  <c r="E351" i="7"/>
  <c r="F351" i="7"/>
  <c r="A352" i="7"/>
  <c r="B352" i="7"/>
  <c r="C352" i="7"/>
  <c r="D352" i="7"/>
  <c r="E352" i="7"/>
  <c r="F352" i="7"/>
  <c r="A353" i="7"/>
  <c r="B353" i="7"/>
  <c r="C353" i="7"/>
  <c r="D353" i="7"/>
  <c r="E353" i="7"/>
  <c r="F353" i="7"/>
  <c r="A354" i="7"/>
  <c r="B354" i="7"/>
  <c r="C354" i="7"/>
  <c r="D354" i="7"/>
  <c r="E354" i="7"/>
  <c r="F354" i="7"/>
  <c r="A355" i="7"/>
  <c r="B355" i="7"/>
  <c r="C355" i="7"/>
  <c r="D355" i="7"/>
  <c r="E355" i="7"/>
  <c r="F355" i="7"/>
  <c r="A356" i="7"/>
  <c r="B356" i="7"/>
  <c r="C356" i="7"/>
  <c r="D356" i="7"/>
  <c r="E356" i="7"/>
  <c r="F356" i="7"/>
  <c r="A357" i="7"/>
  <c r="B357" i="7"/>
  <c r="C357" i="7"/>
  <c r="D357" i="7"/>
  <c r="E357" i="7"/>
  <c r="F357" i="7"/>
  <c r="A358" i="7"/>
  <c r="B358" i="7"/>
  <c r="C358" i="7"/>
  <c r="D358" i="7"/>
  <c r="E358" i="7"/>
  <c r="F358" i="7"/>
  <c r="A359" i="7"/>
  <c r="B359" i="7"/>
  <c r="C359" i="7"/>
  <c r="D359" i="7"/>
  <c r="E359" i="7"/>
  <c r="F359" i="7"/>
  <c r="A360" i="7"/>
  <c r="B360" i="7"/>
  <c r="C360" i="7"/>
  <c r="D360" i="7"/>
  <c r="E360" i="7"/>
  <c r="F360" i="7"/>
  <c r="A361" i="7"/>
  <c r="B361" i="7"/>
  <c r="C361" i="7"/>
  <c r="D361" i="7"/>
  <c r="E361" i="7"/>
  <c r="F361" i="7"/>
  <c r="A362" i="7"/>
  <c r="B362" i="7"/>
  <c r="C362" i="7"/>
  <c r="D362" i="7"/>
  <c r="E362" i="7"/>
  <c r="F362" i="7"/>
  <c r="A363" i="7"/>
  <c r="B363" i="7"/>
  <c r="C363" i="7"/>
  <c r="D363" i="7"/>
  <c r="E363" i="7"/>
  <c r="F363" i="7"/>
  <c r="A364" i="7"/>
  <c r="B364" i="7"/>
  <c r="C364" i="7"/>
  <c r="D364" i="7"/>
  <c r="E364" i="7"/>
  <c r="F364" i="7"/>
  <c r="A365" i="7"/>
  <c r="B365" i="7"/>
  <c r="C365" i="7"/>
  <c r="D365" i="7"/>
  <c r="E365" i="7"/>
  <c r="F365" i="7"/>
  <c r="A366" i="7"/>
  <c r="B366" i="7"/>
  <c r="C366" i="7"/>
  <c r="D366" i="7"/>
  <c r="E366" i="7"/>
  <c r="F366" i="7"/>
  <c r="A367" i="7"/>
  <c r="B367" i="7"/>
  <c r="C367" i="7"/>
  <c r="D367" i="7"/>
  <c r="E367" i="7"/>
  <c r="F367" i="7"/>
  <c r="A368" i="7"/>
  <c r="B368" i="7"/>
  <c r="C368" i="7"/>
  <c r="D368" i="7"/>
  <c r="E368" i="7"/>
  <c r="F368" i="7"/>
  <c r="A369" i="7"/>
  <c r="B369" i="7"/>
  <c r="C369" i="7"/>
  <c r="D369" i="7"/>
  <c r="E369" i="7"/>
  <c r="F369" i="7"/>
  <c r="A370" i="7"/>
  <c r="B370" i="7"/>
  <c r="C370" i="7"/>
  <c r="D370" i="7"/>
  <c r="E370" i="7"/>
  <c r="F370" i="7"/>
  <c r="A371" i="7"/>
  <c r="B371" i="7"/>
  <c r="C371" i="7"/>
  <c r="D371" i="7"/>
  <c r="E371" i="7"/>
  <c r="F371" i="7"/>
  <c r="A372" i="7"/>
  <c r="B372" i="7"/>
  <c r="C372" i="7"/>
  <c r="D372" i="7"/>
  <c r="E372" i="7"/>
  <c r="F372" i="7"/>
  <c r="A373" i="7"/>
  <c r="B373" i="7"/>
  <c r="C373" i="7"/>
  <c r="D373" i="7"/>
  <c r="E373" i="7"/>
  <c r="F373" i="7"/>
  <c r="A374" i="7"/>
  <c r="B374" i="7"/>
  <c r="C374" i="7"/>
  <c r="D374" i="7"/>
  <c r="E374" i="7"/>
  <c r="F374" i="7"/>
  <c r="A375" i="7"/>
  <c r="B375" i="7"/>
  <c r="C375" i="7"/>
  <c r="D375" i="7"/>
  <c r="E375" i="7"/>
  <c r="F375" i="7"/>
  <c r="A376" i="7"/>
  <c r="B376" i="7"/>
  <c r="C376" i="7"/>
  <c r="D376" i="7"/>
  <c r="E376" i="7"/>
  <c r="F376" i="7"/>
  <c r="A377" i="7"/>
  <c r="B377" i="7"/>
  <c r="C377" i="7"/>
  <c r="D377" i="7"/>
  <c r="E377" i="7"/>
  <c r="F377" i="7"/>
  <c r="A378" i="7"/>
  <c r="B378" i="7"/>
  <c r="C378" i="7"/>
  <c r="D378" i="7"/>
  <c r="E378" i="7"/>
  <c r="F378" i="7"/>
  <c r="F4" i="7"/>
  <c r="E4" i="7"/>
  <c r="D4" i="7"/>
  <c r="C4" i="7"/>
  <c r="B4" i="7"/>
  <c r="A4" i="7"/>
  <c r="R5" i="7" s="1"/>
  <c r="F5" i="5"/>
  <c r="F6" i="5"/>
  <c r="F7" i="5"/>
  <c r="F8" i="5"/>
  <c r="F9" i="5"/>
  <c r="F10" i="5"/>
  <c r="F11" i="5"/>
  <c r="F12" i="5"/>
  <c r="F13" i="5"/>
  <c r="F14" i="5"/>
  <c r="F15" i="5"/>
  <c r="F16" i="5"/>
  <c r="F17" i="5"/>
  <c r="F18" i="5"/>
  <c r="F4" i="5"/>
  <c r="E5" i="5"/>
  <c r="E6" i="5"/>
  <c r="E7" i="5"/>
  <c r="E8" i="5"/>
  <c r="E9" i="5"/>
  <c r="E10" i="5"/>
  <c r="E11" i="5"/>
  <c r="E12" i="5"/>
  <c r="E13" i="5"/>
  <c r="E14" i="5"/>
  <c r="E15" i="5"/>
  <c r="E16" i="5"/>
  <c r="E17" i="5"/>
  <c r="E18" i="5"/>
  <c r="E4" i="5"/>
  <c r="D5" i="5"/>
  <c r="D6" i="5"/>
  <c r="D7" i="5"/>
  <c r="D8" i="5"/>
  <c r="D9" i="5"/>
  <c r="D10" i="5"/>
  <c r="D11" i="5"/>
  <c r="D12" i="5"/>
  <c r="D13" i="5"/>
  <c r="D14" i="5"/>
  <c r="D15" i="5"/>
  <c r="D16" i="5"/>
  <c r="D17" i="5"/>
  <c r="D18" i="5"/>
  <c r="D4" i="5"/>
  <c r="C5" i="5"/>
  <c r="C6" i="5"/>
  <c r="C7" i="5"/>
  <c r="C8" i="5"/>
  <c r="C9" i="5"/>
  <c r="C10" i="5"/>
  <c r="C11" i="5"/>
  <c r="C12" i="5"/>
  <c r="C13" i="5"/>
  <c r="C14" i="5"/>
  <c r="C15" i="5"/>
  <c r="C16" i="5"/>
  <c r="C17" i="5"/>
  <c r="C18" i="5"/>
  <c r="C4" i="5"/>
  <c r="P7" i="7" l="1"/>
  <c r="S7" i="7"/>
  <c r="R7" i="7"/>
  <c r="Q7" i="7"/>
  <c r="L32" i="7"/>
  <c r="M4" i="7"/>
  <c r="L4" i="7"/>
  <c r="K4" i="7"/>
  <c r="J4" i="7"/>
  <c r="I4" i="7"/>
  <c r="R32" i="7"/>
  <c r="Q5" i="7"/>
  <c r="Q4" i="7"/>
  <c r="P4" i="7"/>
  <c r="S4" i="7"/>
  <c r="S5" i="7"/>
  <c r="Q32" i="7"/>
  <c r="P32" i="7"/>
  <c r="O33" i="7"/>
  <c r="S32" i="7"/>
  <c r="K32" i="7"/>
  <c r="J32" i="7"/>
  <c r="I32" i="7"/>
  <c r="H33" i="7"/>
  <c r="M32" i="7"/>
  <c r="H5" i="7"/>
  <c r="T4" i="7"/>
  <c r="T7" i="7"/>
  <c r="P6" i="7"/>
  <c r="S6" i="7"/>
  <c r="R6" i="7"/>
  <c r="Q6" i="7"/>
  <c r="T6" i="7"/>
  <c r="O8" i="7"/>
  <c r="T5" i="7"/>
  <c r="P5" i="7"/>
  <c r="O9" i="7"/>
  <c r="S33" i="7" l="1"/>
  <c r="P33" i="7"/>
  <c r="Q33" i="7"/>
  <c r="R33" i="7"/>
  <c r="T33" i="7"/>
  <c r="O34" i="7"/>
  <c r="P8" i="7"/>
  <c r="T8" i="7"/>
  <c r="S8" i="7"/>
  <c r="R8" i="7"/>
  <c r="Q8" i="7"/>
  <c r="H6" i="7"/>
  <c r="M5" i="7"/>
  <c r="L5" i="7"/>
  <c r="K5" i="7"/>
  <c r="I5" i="7"/>
  <c r="J5" i="7"/>
  <c r="K33" i="7"/>
  <c r="J33" i="7"/>
  <c r="I33" i="7"/>
  <c r="H34" i="7"/>
  <c r="M33" i="7"/>
  <c r="L33" i="7"/>
  <c r="T9" i="7"/>
  <c r="S9" i="7"/>
  <c r="R9" i="7"/>
  <c r="Q9" i="7"/>
  <c r="P9" i="7"/>
  <c r="O10" i="7"/>
  <c r="I6" i="7" l="1"/>
  <c r="H7" i="7"/>
  <c r="M6" i="7"/>
  <c r="K6" i="7"/>
  <c r="L6" i="7"/>
  <c r="J6" i="7"/>
  <c r="P34" i="7"/>
  <c r="Q34" i="7"/>
  <c r="R34" i="7"/>
  <c r="S34" i="7"/>
  <c r="T34" i="7"/>
  <c r="O35" i="7"/>
  <c r="T10" i="7"/>
  <c r="R10" i="7"/>
  <c r="Q10" i="7"/>
  <c r="S10" i="7"/>
  <c r="L34" i="7"/>
  <c r="K34" i="7"/>
  <c r="J34" i="7"/>
  <c r="I34" i="7"/>
  <c r="M34" i="7"/>
  <c r="H35" i="7"/>
  <c r="P10" i="7"/>
  <c r="O11" i="7"/>
  <c r="T11" i="7" l="1"/>
  <c r="Q11" i="7"/>
  <c r="S11" i="7"/>
  <c r="R11" i="7"/>
  <c r="O36" i="7"/>
  <c r="R35" i="7"/>
  <c r="S35" i="7"/>
  <c r="Q35" i="7"/>
  <c r="T35" i="7"/>
  <c r="P35" i="7"/>
  <c r="M35" i="7"/>
  <c r="L35" i="7"/>
  <c r="K35" i="7"/>
  <c r="J35" i="7"/>
  <c r="I35" i="7"/>
  <c r="H36" i="7"/>
  <c r="K7" i="7"/>
  <c r="J7" i="7"/>
  <c r="I7" i="7"/>
  <c r="M7" i="7"/>
  <c r="L7" i="7"/>
  <c r="H8" i="7"/>
  <c r="O12" i="7"/>
  <c r="P11" i="7"/>
  <c r="S12" i="7" l="1"/>
  <c r="R12" i="7"/>
  <c r="Q12" i="7"/>
  <c r="T12" i="7"/>
  <c r="P36" i="7"/>
  <c r="Q36" i="7"/>
  <c r="R36" i="7"/>
  <c r="S36" i="7"/>
  <c r="T36" i="7"/>
  <c r="O37" i="7"/>
  <c r="M36" i="7"/>
  <c r="L36" i="7"/>
  <c r="I36" i="7"/>
  <c r="H37" i="7"/>
  <c r="K36" i="7"/>
  <c r="J36" i="7"/>
  <c r="M8" i="7"/>
  <c r="L8" i="7"/>
  <c r="K8" i="7"/>
  <c r="J8" i="7"/>
  <c r="I8" i="7"/>
  <c r="H9" i="7"/>
  <c r="O13" i="7"/>
  <c r="P12" i="7"/>
  <c r="H10" i="7" l="1"/>
  <c r="M9" i="7"/>
  <c r="L9" i="7"/>
  <c r="K9" i="7"/>
  <c r="I9" i="7"/>
  <c r="J9" i="7"/>
  <c r="M37" i="7"/>
  <c r="L37" i="7"/>
  <c r="J37" i="7"/>
  <c r="K37" i="7"/>
  <c r="I37" i="7"/>
  <c r="H38" i="7"/>
  <c r="Q13" i="7"/>
  <c r="S13" i="7"/>
  <c r="T13" i="7"/>
  <c r="R13" i="7"/>
  <c r="O38" i="7"/>
  <c r="P37" i="7"/>
  <c r="Q37" i="7"/>
  <c r="R37" i="7"/>
  <c r="S37" i="7"/>
  <c r="T37" i="7"/>
  <c r="O14" i="7"/>
  <c r="P13" i="7"/>
  <c r="S14" i="7" l="1"/>
  <c r="R14" i="7"/>
  <c r="Q14" i="7"/>
  <c r="T14" i="7"/>
  <c r="I38" i="7"/>
  <c r="H39" i="7"/>
  <c r="M38" i="7"/>
  <c r="K38" i="7"/>
  <c r="J38" i="7"/>
  <c r="L38" i="7"/>
  <c r="O39" i="7"/>
  <c r="P38" i="7"/>
  <c r="Q38" i="7"/>
  <c r="R38" i="7"/>
  <c r="S38" i="7"/>
  <c r="T38" i="7"/>
  <c r="I10" i="7"/>
  <c r="H11" i="7"/>
  <c r="M10" i="7"/>
  <c r="K10" i="7"/>
  <c r="J10" i="7"/>
  <c r="L10" i="7"/>
  <c r="O15" i="7"/>
  <c r="P14" i="7"/>
  <c r="S15" i="7" l="1"/>
  <c r="R15" i="7"/>
  <c r="Q15" i="7"/>
  <c r="T15" i="7"/>
  <c r="I39" i="7"/>
  <c r="H40" i="7"/>
  <c r="M39" i="7"/>
  <c r="K39" i="7"/>
  <c r="J39" i="7"/>
  <c r="L39" i="7"/>
  <c r="O40" i="7"/>
  <c r="P39" i="7"/>
  <c r="Q39" i="7"/>
  <c r="R39" i="7"/>
  <c r="S39" i="7"/>
  <c r="T39" i="7"/>
  <c r="K11" i="7"/>
  <c r="J11" i="7"/>
  <c r="I11" i="7"/>
  <c r="M11" i="7"/>
  <c r="H12" i="7"/>
  <c r="L11" i="7"/>
  <c r="O16" i="7"/>
  <c r="P15" i="7"/>
  <c r="T16" i="7" l="1"/>
  <c r="S16" i="7"/>
  <c r="R16" i="7"/>
  <c r="Q16" i="7"/>
  <c r="K40" i="7"/>
  <c r="J40" i="7"/>
  <c r="I40" i="7"/>
  <c r="H41" i="7"/>
  <c r="L40" i="7"/>
  <c r="M40" i="7"/>
  <c r="M12" i="7"/>
  <c r="L12" i="7"/>
  <c r="K12" i="7"/>
  <c r="J12" i="7"/>
  <c r="I12" i="7"/>
  <c r="H13" i="7"/>
  <c r="O41" i="7"/>
  <c r="Q40" i="7"/>
  <c r="R40" i="7"/>
  <c r="S40" i="7"/>
  <c r="T40" i="7"/>
  <c r="P40" i="7"/>
  <c r="O17" i="7"/>
  <c r="P16" i="7"/>
  <c r="H14" i="7" l="1"/>
  <c r="M13" i="7"/>
  <c r="L13" i="7"/>
  <c r="K13" i="7"/>
  <c r="I13" i="7"/>
  <c r="J13" i="7"/>
  <c r="H42" i="7"/>
  <c r="K41" i="7"/>
  <c r="J41" i="7"/>
  <c r="I41" i="7"/>
  <c r="M41" i="7"/>
  <c r="L41" i="7"/>
  <c r="T17" i="7"/>
  <c r="S17" i="7"/>
  <c r="R17" i="7"/>
  <c r="Q17" i="7"/>
  <c r="O42" i="7"/>
  <c r="P41" i="7"/>
  <c r="T41" i="7"/>
  <c r="Q41" i="7"/>
  <c r="R41" i="7"/>
  <c r="S41" i="7"/>
  <c r="O18" i="7"/>
  <c r="P17" i="7"/>
  <c r="H43" i="7" l="1"/>
  <c r="L42" i="7"/>
  <c r="K42" i="7"/>
  <c r="J42" i="7"/>
  <c r="M42" i="7"/>
  <c r="I42" i="7"/>
  <c r="T18" i="7"/>
  <c r="Q18" i="7"/>
  <c r="R18" i="7"/>
  <c r="S18" i="7"/>
  <c r="O43" i="7"/>
  <c r="P42" i="7"/>
  <c r="Q42" i="7"/>
  <c r="R42" i="7"/>
  <c r="S42" i="7"/>
  <c r="T42" i="7"/>
  <c r="I14" i="7"/>
  <c r="H15" i="7"/>
  <c r="M14" i="7"/>
  <c r="K14" i="7"/>
  <c r="L14" i="7"/>
  <c r="J14" i="7"/>
  <c r="O19" i="7"/>
  <c r="P18" i="7"/>
  <c r="T19" i="7" l="1"/>
  <c r="Q19" i="7"/>
  <c r="R19" i="7"/>
  <c r="S19" i="7"/>
  <c r="O44" i="7"/>
  <c r="P43" i="7"/>
  <c r="S43" i="7"/>
  <c r="Q43" i="7"/>
  <c r="T43" i="7"/>
  <c r="R43" i="7"/>
  <c r="K15" i="7"/>
  <c r="J15" i="7"/>
  <c r="I15" i="7"/>
  <c r="M15" i="7"/>
  <c r="L15" i="7"/>
  <c r="H16" i="7"/>
  <c r="H44" i="7"/>
  <c r="M43" i="7"/>
  <c r="L43" i="7"/>
  <c r="K43" i="7"/>
  <c r="J43" i="7"/>
  <c r="I43" i="7"/>
  <c r="O20" i="7"/>
  <c r="P19" i="7"/>
  <c r="S20" i="7" l="1"/>
  <c r="R20" i="7"/>
  <c r="T20" i="7"/>
  <c r="Q20" i="7"/>
  <c r="O45" i="7"/>
  <c r="P44" i="7"/>
  <c r="Q44" i="7"/>
  <c r="R44" i="7"/>
  <c r="S44" i="7"/>
  <c r="T44" i="7"/>
  <c r="M16" i="7"/>
  <c r="L16" i="7"/>
  <c r="K16" i="7"/>
  <c r="J16" i="7"/>
  <c r="I16" i="7"/>
  <c r="H17" i="7"/>
  <c r="H45" i="7"/>
  <c r="M44" i="7"/>
  <c r="L44" i="7"/>
  <c r="I44" i="7"/>
  <c r="K44" i="7"/>
  <c r="J44" i="7"/>
  <c r="O21" i="7"/>
  <c r="P20" i="7"/>
  <c r="Q21" i="7" l="1"/>
  <c r="S21" i="7"/>
  <c r="T21" i="7"/>
  <c r="R21" i="7"/>
  <c r="O46" i="7"/>
  <c r="P45" i="7"/>
  <c r="Q45" i="7"/>
  <c r="R45" i="7"/>
  <c r="S45" i="7"/>
  <c r="T45" i="7"/>
  <c r="H18" i="7"/>
  <c r="M17" i="7"/>
  <c r="L17" i="7"/>
  <c r="K17" i="7"/>
  <c r="I17" i="7"/>
  <c r="J17" i="7"/>
  <c r="H46" i="7"/>
  <c r="M45" i="7"/>
  <c r="L45" i="7"/>
  <c r="I45" i="7"/>
  <c r="K45" i="7"/>
  <c r="J45" i="7"/>
  <c r="O22" i="7"/>
  <c r="P21" i="7"/>
  <c r="S22" i="7" l="1"/>
  <c r="R22" i="7"/>
  <c r="Q22" i="7"/>
  <c r="T22" i="7"/>
  <c r="O47" i="7"/>
  <c r="P46" i="7"/>
  <c r="Q46" i="7"/>
  <c r="R46" i="7"/>
  <c r="S46" i="7"/>
  <c r="T46" i="7"/>
  <c r="I18" i="7"/>
  <c r="H19" i="7"/>
  <c r="M18" i="7"/>
  <c r="K18" i="7"/>
  <c r="J18" i="7"/>
  <c r="L18" i="7"/>
  <c r="H47" i="7"/>
  <c r="I46" i="7"/>
  <c r="M46" i="7"/>
  <c r="K46" i="7"/>
  <c r="J46" i="7"/>
  <c r="L46" i="7"/>
  <c r="P22" i="7"/>
  <c r="O23" i="7"/>
  <c r="O48" i="7" l="1"/>
  <c r="P47" i="7"/>
  <c r="Q47" i="7"/>
  <c r="R47" i="7"/>
  <c r="S47" i="7"/>
  <c r="T47" i="7"/>
  <c r="S23" i="7"/>
  <c r="R23" i="7"/>
  <c r="Q23" i="7"/>
  <c r="T23" i="7"/>
  <c r="K19" i="7"/>
  <c r="J19" i="7"/>
  <c r="I19" i="7"/>
  <c r="M19" i="7"/>
  <c r="L19" i="7"/>
  <c r="H20" i="7"/>
  <c r="H48" i="7"/>
  <c r="I47" i="7"/>
  <c r="M47" i="7"/>
  <c r="J47" i="7"/>
  <c r="L47" i="7"/>
  <c r="K47" i="7"/>
  <c r="O24" i="7"/>
  <c r="P23" i="7"/>
  <c r="M20" i="7" l="1"/>
  <c r="L20" i="7"/>
  <c r="K20" i="7"/>
  <c r="J20" i="7"/>
  <c r="I20" i="7"/>
  <c r="H21" i="7"/>
  <c r="T24" i="7"/>
  <c r="S24" i="7"/>
  <c r="R24" i="7"/>
  <c r="Q24" i="7"/>
  <c r="H49" i="7"/>
  <c r="K48" i="7"/>
  <c r="J48" i="7"/>
  <c r="I48" i="7"/>
  <c r="L48" i="7"/>
  <c r="M48" i="7"/>
  <c r="O49" i="7"/>
  <c r="S48" i="7"/>
  <c r="P48" i="7"/>
  <c r="Q48" i="7"/>
  <c r="R48" i="7"/>
  <c r="T48" i="7"/>
  <c r="O25" i="7"/>
  <c r="P24" i="7"/>
  <c r="T25" i="7" l="1"/>
  <c r="S25" i="7"/>
  <c r="R25" i="7"/>
  <c r="Q25" i="7"/>
  <c r="H22" i="7"/>
  <c r="M21" i="7"/>
  <c r="L21" i="7"/>
  <c r="K21" i="7"/>
  <c r="I21" i="7"/>
  <c r="J21" i="7"/>
  <c r="H50" i="7"/>
  <c r="K49" i="7"/>
  <c r="J49" i="7"/>
  <c r="I49" i="7"/>
  <c r="M49" i="7"/>
  <c r="L49" i="7"/>
  <c r="O50" i="7"/>
  <c r="S49" i="7"/>
  <c r="T49" i="7"/>
  <c r="Q49" i="7"/>
  <c r="R49" i="7"/>
  <c r="P49" i="7"/>
  <c r="O26" i="7"/>
  <c r="P25" i="7"/>
  <c r="I22" i="7" l="1"/>
  <c r="H23" i="7"/>
  <c r="M22" i="7"/>
  <c r="K22" i="7"/>
  <c r="L22" i="7"/>
  <c r="J22" i="7"/>
  <c r="H51" i="7"/>
  <c r="L50" i="7"/>
  <c r="K50" i="7"/>
  <c r="J50" i="7"/>
  <c r="M50" i="7"/>
  <c r="I50" i="7"/>
  <c r="T26" i="7"/>
  <c r="S26" i="7"/>
  <c r="R26" i="7"/>
  <c r="Q26" i="7"/>
  <c r="O51" i="7"/>
  <c r="P50" i="7"/>
  <c r="Q50" i="7"/>
  <c r="R50" i="7"/>
  <c r="S50" i="7"/>
  <c r="T50" i="7"/>
  <c r="O27" i="7"/>
  <c r="P26" i="7"/>
  <c r="T27" i="7" l="1"/>
  <c r="Q27" i="7"/>
  <c r="S27" i="7"/>
  <c r="R27" i="7"/>
  <c r="H52" i="7"/>
  <c r="M51" i="7"/>
  <c r="L51" i="7"/>
  <c r="K51" i="7"/>
  <c r="J51" i="7"/>
  <c r="I51" i="7"/>
  <c r="K23" i="7"/>
  <c r="J23" i="7"/>
  <c r="I23" i="7"/>
  <c r="M23" i="7"/>
  <c r="L23" i="7"/>
  <c r="H24" i="7"/>
  <c r="O52" i="7"/>
  <c r="T51" i="7"/>
  <c r="P51" i="7"/>
  <c r="Q51" i="7"/>
  <c r="R51" i="7"/>
  <c r="S51" i="7"/>
  <c r="O28" i="7"/>
  <c r="P27" i="7"/>
  <c r="P28" i="7" l="1"/>
  <c r="S28" i="7"/>
  <c r="R28" i="7"/>
  <c r="T28" i="7"/>
  <c r="Q28" i="7"/>
  <c r="H53" i="7"/>
  <c r="M52" i="7"/>
  <c r="L52" i="7"/>
  <c r="I52" i="7"/>
  <c r="J52" i="7"/>
  <c r="K52" i="7"/>
  <c r="M24" i="7"/>
  <c r="L24" i="7"/>
  <c r="K24" i="7"/>
  <c r="J24" i="7"/>
  <c r="I24" i="7"/>
  <c r="H25" i="7"/>
  <c r="O53" i="7"/>
  <c r="P52" i="7"/>
  <c r="Q52" i="7"/>
  <c r="R52" i="7"/>
  <c r="S52" i="7"/>
  <c r="T52" i="7"/>
  <c r="H54" i="7" l="1"/>
  <c r="M53" i="7"/>
  <c r="L53" i="7"/>
  <c r="I53" i="7"/>
  <c r="K53" i="7"/>
  <c r="J53" i="7"/>
  <c r="O54" i="7"/>
  <c r="P53" i="7"/>
  <c r="Q53" i="7"/>
  <c r="R53" i="7"/>
  <c r="S53" i="7"/>
  <c r="T53" i="7"/>
  <c r="H26" i="7"/>
  <c r="M25" i="7"/>
  <c r="K25" i="7"/>
  <c r="L25" i="7"/>
  <c r="I25" i="7"/>
  <c r="J25" i="7"/>
  <c r="O55" i="7" l="1"/>
  <c r="P54" i="7"/>
  <c r="Q54" i="7"/>
  <c r="R54" i="7"/>
  <c r="S54" i="7"/>
  <c r="T54" i="7"/>
  <c r="I26" i="7"/>
  <c r="H27" i="7"/>
  <c r="K26" i="7"/>
  <c r="M26" i="7"/>
  <c r="L26" i="7"/>
  <c r="J26" i="7"/>
  <c r="H55" i="7"/>
  <c r="I54" i="7"/>
  <c r="M54" i="7"/>
  <c r="K54" i="7"/>
  <c r="J54" i="7"/>
  <c r="L54" i="7"/>
  <c r="K27" i="7" l="1"/>
  <c r="J27" i="7"/>
  <c r="I27" i="7"/>
  <c r="M27" i="7"/>
  <c r="H28" i="7"/>
  <c r="L27" i="7"/>
  <c r="H56" i="7"/>
  <c r="I55" i="7"/>
  <c r="M55" i="7"/>
  <c r="K55" i="7"/>
  <c r="J55" i="7"/>
  <c r="L55" i="7"/>
  <c r="P55" i="7"/>
  <c r="Q55" i="7"/>
  <c r="R55" i="7"/>
  <c r="S55" i="7"/>
  <c r="T55" i="7"/>
  <c r="O56" i="7"/>
  <c r="K56" i="7" l="1"/>
  <c r="J56" i="7"/>
  <c r="I56" i="7"/>
  <c r="L56" i="7"/>
  <c r="M56" i="7"/>
  <c r="M28" i="7"/>
  <c r="L28" i="7"/>
  <c r="K28" i="7"/>
  <c r="J28" i="7"/>
  <c r="I28" i="7"/>
  <c r="S56" i="7"/>
  <c r="P56" i="7"/>
  <c r="T56" i="7"/>
  <c r="Q56" i="7"/>
  <c r="R5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C59DF6-5E10-4948-84B1-51C3E78B6422}" keepAlive="1" name="Query - GlobalDevelopmentData" description="Connection to the 'GlobalDevelopmentData' query in the workbook." type="5" refreshedVersion="8" background="1" saveData="1">
    <dbPr connection="Provider=Microsoft.Mashup.OleDb.1;Data Source=$Workbook$;Location=GlobalDevelopmentData;Extended Properties=&quot;&quot;" command="SELECT * FROM [GlobalDevelopmentData]"/>
  </connection>
</connections>
</file>

<file path=xl/sharedStrings.xml><?xml version="1.0" encoding="utf-8"?>
<sst xmlns="http://schemas.openxmlformats.org/spreadsheetml/2006/main" count="2014" uniqueCount="188">
  <si>
    <t>Development relevance</t>
  </si>
  <si>
    <t>Total population is based on the de facto definition of population, which counts all residents regardless of legal status or citizenship. The values shown are midyear estimates.</t>
  </si>
  <si>
    <t>United Kingdom</t>
  </si>
  <si>
    <t>2013 [YR2013]</t>
  </si>
  <si>
    <t>Italy</t>
  </si>
  <si>
    <t>Russian Federation</t>
  </si>
  <si>
    <t>Aggregation method</t>
  </si>
  <si>
    <t>2004 [YR2004]</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</si>
  <si>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</si>
  <si>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</si>
  <si>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</si>
  <si>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 of total labor force</t>
  </si>
  <si>
    <t>Social Protection &amp; Labor: Unemployment</t>
  </si>
  <si>
    <t>FP.CPI.TOTL.ZG</t>
  </si>
  <si>
    <t>Japan</t>
  </si>
  <si>
    <t>2012 [YR2012]</t>
  </si>
  <si>
    <t>Country Code</t>
  </si>
  <si>
    <t>India</t>
  </si>
  <si>
    <t>Inflation, consumer prices (annual % growth)</t>
  </si>
  <si>
    <t>2018 [YR2018]</t>
  </si>
  <si>
    <t>Data from database: World Development Indicators</t>
  </si>
  <si>
    <t>Code</t>
  </si>
  <si>
    <t>2003 [YR2003]</t>
  </si>
  <si>
    <t>SL.UEM.TOTL.ZS</t>
  </si>
  <si>
    <t>GBR</t>
  </si>
  <si>
    <t>ESP</t>
  </si>
  <si>
    <t>Financial Sector: Exchange rates &amp; prices</t>
  </si>
  <si>
    <t>Weighted average</t>
  </si>
  <si>
    <t>Current US$</t>
  </si>
  <si>
    <t>Relevance to gender indicator: disaggregating the population composition by gender will help a country in projecting its demand for social services on a gender basis.</t>
  </si>
  <si>
    <t>JPN</t>
  </si>
  <si>
    <t>France</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</si>
  <si>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</si>
  <si>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</si>
  <si>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</si>
  <si>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</si>
  <si>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</si>
  <si>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2017 [YR2017]</t>
  </si>
  <si>
    <t>South Africa</t>
  </si>
  <si>
    <t>Inflation, consumer prices (annual %)</t>
  </si>
  <si>
    <t>Country Name</t>
  </si>
  <si>
    <t>2008 [YR2008]</t>
  </si>
  <si>
    <t>Reference period</t>
  </si>
  <si>
    <t>ILO Modelled Estimates database (ILOEST), International Labour Organization (ILO), uri: https://ilostat.ilo.org/data/bulk/, publisher: ILOSTAT, type: external database, date accessed: January 17, 2026</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</si>
  <si>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</si>
  <si>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</si>
  <si>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National estimates are also available in the WDI database. Caution should be used when comparing ILO estimates with national estimates.</t>
  </si>
  <si>
    <t>2016 [YR2016]</t>
  </si>
  <si>
    <t>Economic Policy &amp; Debt: National accounts: US$ at current prices: Aggregate indicators</t>
  </si>
  <si>
    <t>DEU</t>
  </si>
  <si>
    <t>SP.POP.TOTL</t>
  </si>
  <si>
    <t>2007 [YR2007]</t>
  </si>
  <si>
    <t>Limitations and exceptions</t>
  </si>
  <si>
    <t>Spain</t>
  </si>
  <si>
    <t>NLD</t>
  </si>
  <si>
    <t>Last Updated: 10/08/2026</t>
  </si>
  <si>
    <t>WB_WDI</t>
  </si>
  <si>
    <t>License Type</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</si>
  <si>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</si>
  <si>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</si>
  <si>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</si>
  <si>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</si>
  <si>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</si>
  <si>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2006 [YR2006]</t>
  </si>
  <si>
    <t>Population, total</t>
  </si>
  <si>
    <t>CC BY-4.0</t>
  </si>
  <si>
    <t>Topic</t>
  </si>
  <si>
    <t>Sum</t>
  </si>
  <si>
    <t>IRL</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</si>
  <si>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</si>
  <si>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IDN</t>
  </si>
  <si>
    <t>2020 [YR2020]</t>
  </si>
  <si>
    <t>NY.GDP.PCAP.CD</t>
  </si>
  <si>
    <t>GDP per capita (current US$)</t>
  </si>
  <si>
    <t>Unit</t>
  </si>
  <si>
    <t>Unemployment, total (% of total labor force) (modeled ILO estimate)</t>
  </si>
  <si>
    <t>Long definition</t>
  </si>
  <si>
    <t>United States</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</si>
  <si>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</si>
  <si>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</si>
  <si>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</si>
  <si>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USA</t>
  </si>
  <si>
    <t>2002 [YR2002]</t>
  </si>
  <si>
    <t>2019 [YR2019]</t>
  </si>
  <si>
    <t>ZAF</t>
  </si>
  <si>
    <t>Unemployment refers to the share of the labor force that is without work but available for and seeking employment.</t>
  </si>
  <si>
    <t>China</t>
  </si>
  <si>
    <t>Series Code</t>
  </si>
  <si>
    <t>2010 [YR2010]</t>
  </si>
  <si>
    <t>Germany</t>
  </si>
  <si>
    <t>Short definition</t>
  </si>
  <si>
    <t>Indonesia</t>
  </si>
  <si>
    <t>CHN</t>
  </si>
  <si>
    <t>2001 [YR2001]</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</si>
  <si>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</si>
  <si>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1960-2025</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</si>
  <si>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</si>
  <si>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</si>
  <si>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</si>
  <si>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</si>
  <si>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</si>
  <si>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</si>
  <si>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Inflation as measured by the consumer price index reflects the annual percentage change in the cost to the average consumer of acquiring a basket of goods and services that may be fixed or changed at specified intervals, such as yearly.</t>
  </si>
  <si>
    <t>Netherlands</t>
  </si>
  <si>
    <t>2015 [YR2015]</t>
  </si>
  <si>
    <t>License URL</t>
  </si>
  <si>
    <t>ITA</t>
  </si>
  <si>
    <t>2000 [YR2000]</t>
  </si>
  <si>
    <t>Source</t>
  </si>
  <si>
    <t>Series Name</t>
  </si>
  <si>
    <t>International Financial Statistics database, International Monetary Fund (IMF)</t>
  </si>
  <si>
    <t>Unit of measure</t>
  </si>
  <si>
    <t>Other notes</t>
  </si>
  <si>
    <t>2023 [YR2023]</t>
  </si>
  <si>
    <t>IND</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</si>
  <si>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</si>
  <si>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</si>
  <si>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</si>
  <si>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Brazil</t>
  </si>
  <si>
    <t>2005 [YR2005]</t>
  </si>
  <si>
    <t>Ireland</t>
  </si>
  <si>
    <t>RUS</t>
  </si>
  <si>
    <t>2022 [YR2022]</t>
  </si>
  <si>
    <t>FRA</t>
  </si>
  <si>
    <t>Year</t>
  </si>
  <si>
    <t>Inflation (%)</t>
  </si>
  <si>
    <t>Unemployment (%)</t>
  </si>
  <si>
    <t>Population</t>
  </si>
  <si>
    <t>GDP per Capita (US$)</t>
  </si>
  <si>
    <t>Country</t>
  </si>
  <si>
    <t>Global Development Indicators — Cross-Country Comparison (2024)</t>
  </si>
  <si>
    <t>Global Development Indicators — Historical Trends (2000–2024)</t>
  </si>
  <si>
    <t>GLOBAL DEVELOPMENT INDICATORS</t>
  </si>
  <si>
    <t>Global Development Indicators</t>
  </si>
  <si>
    <t>Comparative Analysis of 15 Economies, 2000–2024</t>
  </si>
  <si>
    <t>Workbook Navigation</t>
  </si>
  <si>
    <t>Section</t>
  </si>
  <si>
    <t>Description</t>
  </si>
  <si>
    <t>WorldBankRaw</t>
  </si>
  <si>
    <t>Clean_Data</t>
  </si>
  <si>
    <t>Analysis</t>
  </si>
  <si>
    <t>Historical_Analysis</t>
  </si>
  <si>
    <t>Dashboard</t>
  </si>
  <si>
    <t>Pivot_Table</t>
  </si>
  <si>
    <t>Data_Dictionary</t>
  </si>
  <si>
    <t>Data</t>
  </si>
  <si>
    <t>Series - Metadata</t>
  </si>
  <si>
    <t>Sheet Name</t>
  </si>
  <si>
    <t>Historical indicator tables covering 2000–2024 for five selected economies.</t>
  </si>
  <si>
    <t>Original World Bank data.</t>
  </si>
  <si>
    <t>Original World Bank download in wide format.</t>
  </si>
  <si>
    <t>Definitions and metadata for the selected indicators.</t>
  </si>
  <si>
    <t>Cleaned dataset of 375 country-year records.</t>
  </si>
  <si>
    <t>2024 comparison across 15 economies.</t>
  </si>
  <si>
    <t>Visual comparison of four development indicators across five selected economies, 2000–2024.</t>
  </si>
  <si>
    <t>Variable definitions, units, and sources.</t>
  </si>
  <si>
    <t>Summary tables for comparing indicators.</t>
  </si>
  <si>
    <t>Source Data</t>
  </si>
  <si>
    <t>Metadata</t>
  </si>
  <si>
    <t>Processed Data</t>
  </si>
  <si>
    <t>Visualisation</t>
  </si>
  <si>
    <t>Documentation</t>
  </si>
  <si>
    <t>Row Labels</t>
  </si>
  <si>
    <t>Variable Name</t>
  </si>
  <si>
    <t>Definition</t>
  </si>
  <si>
    <t>Unit / Format</t>
  </si>
  <si>
    <t>Country name</t>
  </si>
  <si>
    <t>Name of the country or economy</t>
  </si>
  <si>
    <t>World Bank — WDI</t>
  </si>
  <si>
    <t>Three-letter country identifier</t>
  </si>
  <si>
    <t>Country code</t>
  </si>
  <si>
    <t>Year of observation</t>
  </si>
  <si>
    <t>2000–2024</t>
  </si>
  <si>
    <t>GDP divided by midyear population</t>
  </si>
  <si>
    <t>Current US dollars per person</t>
  </si>
  <si>
    <t>Annual percentage change in consumer prices</t>
  </si>
  <si>
    <t>Percent (%)</t>
  </si>
  <si>
    <t>Unemployment, total (% of total labor force)</t>
  </si>
  <si>
    <t>Share of the total labor force that is unemployed</t>
  </si>
  <si>
    <t>Total population in the specified year</t>
  </si>
  <si>
    <t>People</t>
  </si>
  <si>
    <t>Source Link</t>
  </si>
  <si>
    <t>https://data.worldbank.org/indicator/NY.GDP.PCAP.CD</t>
  </si>
  <si>
    <t>https://data.worldbank.org/indicator/FP.CPI.TOTL.ZG</t>
  </si>
  <si>
    <t>https://data.worldbank.org/indicator/SL.UEM.TOTL.ZS</t>
  </si>
  <si>
    <t>https://data.worldbank.org/indicator/SP.POP.TOTL</t>
  </si>
  <si>
    <t>https://data.worldbank.org/country</t>
  </si>
  <si>
    <t>https://databank.worldbank.org/source/world-development-indicators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</si>
</sst>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scheme val="minor"/>
    </font>
    <font>
      <b/>
      <sz val="11"/>
      <color theme="1"/>
      <name val="Calibri"/>
      <family val="2"/>
      <scheme val="minor"/>
    </font>
    <font>
      <b/>
      <sz val="18"/>
      <color theme="3"/>
      <name val="Calibri"/>
      <family val="2"/>
      <scheme val="minor"/>
    </font>
    <font>
      <sz val="11"/>
      <color theme="1"/>
      <name val="Calibri"/>
      <family val="2"/>
      <scheme val="minor"/>
    </font>
    <font>
      <sz val="10"/>
      <color theme="1"/>
      <name val="Arial Unicode MS"/>
    </font>
    <font>
      <u/>
      <sz val="11"/>
      <color theme="10"/>
      <name val="Calibri"/>
      <family val="2"/>
      <scheme val="minor"/>
    </font>
    <font>
      <b/>
      <sz val="16"/>
      <color theme="3"/>
      <name val="Calibri"/>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3" fillId="0" borderId="0" applyFont="0" applyFill="0" applyBorder="0" applyAlignment="0" applyProtection="0"/>
    <xf numFmtId="0" fontId="5" fillId="0" borderId="0" applyNumberFormat="0" applyFill="0" applyBorder="0" applyAlignment="0" applyProtection="0"/>
  </cellStyleXfs>
  <cellXfs count="38">
    <xf numFmtId="0" fontId="0" fillId="0" borderId="0" xfId="0"/>
    <xf numFmtId="49" fontId="0" fillId="0" borderId="0" xfId="0" applyNumberFormat="1"/>
    <xf numFmtId="0" fontId="0" fillId="0" borderId="0" xfId="0" applyAlignment="1">
      <alignment horizontal="center"/>
    </xf>
    <xf numFmtId="0" fontId="2" fillId="0" borderId="0" xfId="0" applyFont="1" applyAlignment="1">
      <alignment horizontal="center"/>
    </xf>
    <xf numFmtId="2" fontId="0" fillId="0" borderId="1" xfId="0" applyNumberFormat="1" applyBorder="1"/>
    <xf numFmtId="0" fontId="0" fillId="0" borderId="1" xfId="1" applyNumberFormat="1" applyFont="1" applyBorder="1"/>
    <xf numFmtId="43" fontId="0" fillId="0" borderId="1" xfId="1" applyFont="1" applyBorder="1"/>
    <xf numFmtId="0" fontId="0" fillId="0" borderId="2" xfId="0" applyBorder="1"/>
    <xf numFmtId="164" fontId="0" fillId="0" borderId="3" xfId="1" applyNumberFormat="1" applyFont="1" applyBorder="1"/>
    <xf numFmtId="0" fontId="0" fillId="0" borderId="6" xfId="0" applyBorder="1"/>
    <xf numFmtId="0" fontId="0" fillId="0" borderId="7" xfId="1" applyNumberFormat="1" applyFont="1" applyBorder="1"/>
    <xf numFmtId="43" fontId="0" fillId="0" borderId="7" xfId="1" applyFont="1" applyBorder="1"/>
    <xf numFmtId="2" fontId="0" fillId="0" borderId="7" xfId="0" applyNumberFormat="1" applyBorder="1"/>
    <xf numFmtId="164" fontId="0" fillId="0" borderId="8" xfId="1" applyNumberFormat="1" applyFont="1" applyBorder="1"/>
    <xf numFmtId="0" fontId="1" fillId="0" borderId="4" xfId="0" applyFont="1" applyBorder="1" applyAlignment="1">
      <alignment wrapText="1"/>
    </xf>
    <xf numFmtId="0" fontId="1" fillId="0" borderId="5" xfId="0" applyFont="1" applyBorder="1" applyAlignment="1">
      <alignment wrapText="1"/>
    </xf>
    <xf numFmtId="164" fontId="0" fillId="0" borderId="0" xfId="1" applyNumberFormat="1" applyFont="1" applyBorder="1"/>
    <xf numFmtId="0" fontId="1" fillId="0" borderId="0" xfId="0" applyFont="1" applyAlignment="1">
      <alignment wrapText="1"/>
    </xf>
    <xf numFmtId="0" fontId="4" fillId="0" borderId="0" xfId="0" applyFont="1"/>
    <xf numFmtId="2" fontId="0" fillId="0" borderId="0" xfId="0" applyNumberFormat="1"/>
    <xf numFmtId="2" fontId="4" fillId="0" borderId="0" xfId="0" applyNumberFormat="1" applyFont="1"/>
    <xf numFmtId="164" fontId="4" fillId="0" borderId="0" xfId="1" applyNumberFormat="1" applyFont="1"/>
    <xf numFmtId="1" fontId="0" fillId="0" borderId="0" xfId="0" applyNumberFormat="1"/>
    <xf numFmtId="164" fontId="0" fillId="0" borderId="0" xfId="1" applyNumberFormat="1" applyFont="1"/>
    <xf numFmtId="0" fontId="2" fillId="0" borderId="0" xfId="0" applyFont="1"/>
    <xf numFmtId="0" fontId="6" fillId="0" borderId="0" xfId="0" applyFont="1"/>
    <xf numFmtId="0" fontId="0" fillId="2" borderId="0" xfId="0" applyFill="1"/>
    <xf numFmtId="0" fontId="1" fillId="2" borderId="0" xfId="0" applyFont="1" applyFill="1"/>
    <xf numFmtId="0" fontId="5" fillId="0" borderId="0" xfId="2"/>
    <xf numFmtId="0" fontId="0" fillId="0" borderId="0" xfId="0" pivotButton="1"/>
    <xf numFmtId="0" fontId="0" fillId="0" borderId="0" xfId="0" applyAlignment="1">
      <alignment horizontal="left"/>
    </xf>
    <xf numFmtId="4" fontId="0" fillId="0" borderId="0" xfId="0" applyNumberFormat="1"/>
    <xf numFmtId="3" fontId="0" fillId="0" borderId="0" xfId="0" applyNumberFormat="1"/>
    <xf numFmtId="0" fontId="1" fillId="2" borderId="0" xfId="0" applyFont="1" applyFill="1" applyAlignment="1">
      <alignment wrapText="1"/>
    </xf>
    <xf numFmtId="0" fontId="1" fillId="2" borderId="0" xfId="0" applyFont="1" applyFill="1" applyAlignment="1">
      <alignment horizontal="left"/>
    </xf>
    <xf numFmtId="0" fontId="2" fillId="2" borderId="0" xfId="0" applyFont="1" applyFill="1" applyAlignment="1">
      <alignment horizontal="left"/>
    </xf>
    <xf numFmtId="0" fontId="6" fillId="2" borderId="0" xfId="0" applyFont="1" applyFill="1" applyAlignment="1">
      <alignment horizontal="left"/>
    </xf>
    <xf numFmtId="0" fontId="2" fillId="0" borderId="0" xfId="0" applyFont="1" applyAlignment="1">
      <alignment horizontal="center"/>
    </xf>
  </cellXfs>
  <cellStyles count="3">
    <cellStyle name="Comma" xfId="1" builtinId="3"/>
    <cellStyle name="Hyperlink" xfId="2" builtinId="8"/>
    <cellStyle name="Normal" xfId="0" builtinId="0"/>
  </cellStyles>
  <dxfs count="41">
    <dxf>
      <numFmt numFmtId="3" formatCode="#,##0"/>
    </dxf>
    <dxf>
      <numFmt numFmtId="4"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theme="1"/>
        <name val="Arial Unicode MS"/>
        <scheme val="none"/>
      </font>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10"/>
        <color theme="1"/>
        <name val="Arial Unicode MS"/>
        <scheme val="none"/>
      </font>
      <numFmt numFmtId="164" formatCode="_(* #,##0_);_(* \(#,##0\);_(* &quot;-&quot;??_);_(@_)"/>
    </dxf>
    <dxf>
      <font>
        <b val="0"/>
        <i val="0"/>
        <strike val="0"/>
        <condense val="0"/>
        <extend val="0"/>
        <outline val="0"/>
        <shadow val="0"/>
        <u val="none"/>
        <vertAlign val="baseline"/>
        <sz val="10"/>
        <color theme="1"/>
        <name val="Arial Unicode MS"/>
        <scheme val="none"/>
      </font>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30" formatCode="@"/>
    </dxf>
    <dxf>
      <numFmt numFmtId="30" formatCode="@"/>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Inflation by Country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Historical_Analysis!$P$3</c:f>
              <c:strCache>
                <c:ptCount val="1"/>
                <c:pt idx="0">
                  <c:v>India</c:v>
                </c:pt>
              </c:strCache>
            </c:strRef>
          </c:tx>
          <c:spPr>
            <a:ln w="28575" cap="rnd">
              <a:solidFill>
                <a:schemeClr val="accent3"/>
              </a:solidFill>
              <a:round/>
            </a:ln>
            <a:effectLst/>
          </c:spPr>
          <c:marker>
            <c:symbol val="none"/>
          </c:marker>
          <c:cat>
            <c:numRef>
              <c:f>Historical_Analysis!$O$4:$O$28</c:f>
              <c:numCache>
                <c:formatCode>0</c:formatCode>
                <c:ptCount val="25"/>
                <c:pt idx="0" formatCode="General">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Historical_Analysis!$P$4:$P$28</c:f>
              <c:numCache>
                <c:formatCode>0.00</c:formatCode>
                <c:ptCount val="25"/>
                <c:pt idx="0">
                  <c:v>4.0094359104519004</c:v>
                </c:pt>
                <c:pt idx="1">
                  <c:v>3.7792931223563699</c:v>
                </c:pt>
                <c:pt idx="2">
                  <c:v>4.29715203929561</c:v>
                </c:pt>
                <c:pt idx="3">
                  <c:v>3.8058589952885198</c:v>
                </c:pt>
                <c:pt idx="4">
                  <c:v>3.7672517347751699</c:v>
                </c:pt>
                <c:pt idx="5">
                  <c:v>4.2463436203192302</c:v>
                </c:pt>
                <c:pt idx="6">
                  <c:v>5.7965233756163297</c:v>
                </c:pt>
                <c:pt idx="7">
                  <c:v>6.3728813559323099</c:v>
                </c:pt>
                <c:pt idx="8">
                  <c:v>8.3492670490757401</c:v>
                </c:pt>
                <c:pt idx="9">
                  <c:v>10.8823529411764</c:v>
                </c:pt>
                <c:pt idx="10">
                  <c:v>11.989389920424401</c:v>
                </c:pt>
                <c:pt idx="11">
                  <c:v>8.9117933648335992</c:v>
                </c:pt>
                <c:pt idx="12">
                  <c:v>9.4789969141979196</c:v>
                </c:pt>
                <c:pt idx="13">
                  <c:v>10.0178784746104</c:v>
                </c:pt>
                <c:pt idx="14">
                  <c:v>6.6656567186789903</c:v>
                </c:pt>
                <c:pt idx="15">
                  <c:v>4.9069734412724904</c:v>
                </c:pt>
                <c:pt idx="16">
                  <c:v>4.9482163406213404</c:v>
                </c:pt>
                <c:pt idx="17">
                  <c:v>3.3281733746130402</c:v>
                </c:pt>
                <c:pt idx="18">
                  <c:v>3.9388264669164199</c:v>
                </c:pt>
                <c:pt idx="19">
                  <c:v>3.7295057353912302</c:v>
                </c:pt>
                <c:pt idx="20">
                  <c:v>6.6234367762852902</c:v>
                </c:pt>
                <c:pt idx="21">
                  <c:v>5.1314074717636302</c:v>
                </c:pt>
                <c:pt idx="22">
                  <c:v>6.6990341407985703</c:v>
                </c:pt>
                <c:pt idx="23">
                  <c:v>5.6491431890792496</c:v>
                </c:pt>
                <c:pt idx="24">
                  <c:v>4.9530355097366003</c:v>
                </c:pt>
              </c:numCache>
            </c:numRef>
          </c:val>
          <c:smooth val="0"/>
          <c:extLst>
            <c:ext xmlns:c16="http://schemas.microsoft.com/office/drawing/2014/chart" uri="{C3380CC4-5D6E-409C-BE32-E72D297353CC}">
              <c16:uniqueId val="{00000001-485E-4EDB-BADB-71EF6EF00AE6}"/>
            </c:ext>
          </c:extLst>
        </c:ser>
        <c:ser>
          <c:idx val="3"/>
          <c:order val="1"/>
          <c:tx>
            <c:strRef>
              <c:f>Historical_Analysis!$Q$3</c:f>
              <c:strCache>
                <c:ptCount val="1"/>
                <c:pt idx="0">
                  <c:v>China</c:v>
                </c:pt>
              </c:strCache>
            </c:strRef>
          </c:tx>
          <c:spPr>
            <a:ln w="28575" cap="rnd">
              <a:solidFill>
                <a:schemeClr val="accent4"/>
              </a:solidFill>
              <a:round/>
            </a:ln>
            <a:effectLst/>
          </c:spPr>
          <c:marker>
            <c:symbol val="none"/>
          </c:marker>
          <c:cat>
            <c:numRef>
              <c:f>Historical_Analysis!$O$4:$O$28</c:f>
              <c:numCache>
                <c:formatCode>0</c:formatCode>
                <c:ptCount val="25"/>
                <c:pt idx="0" formatCode="General">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Historical_Analysis!$Q$4:$Q$28</c:f>
              <c:numCache>
                <c:formatCode>0.00</c:formatCode>
                <c:ptCount val="25"/>
                <c:pt idx="0">
                  <c:v>0.34781122686458599</c:v>
                </c:pt>
                <c:pt idx="1">
                  <c:v>0.71912560912011303</c:v>
                </c:pt>
                <c:pt idx="2">
                  <c:v>-0.73197090235024298</c:v>
                </c:pt>
                <c:pt idx="3">
                  <c:v>1.1276034872963701</c:v>
                </c:pt>
                <c:pt idx="4">
                  <c:v>3.82463743108159</c:v>
                </c:pt>
                <c:pt idx="5">
                  <c:v>1.7764140766756999</c:v>
                </c:pt>
                <c:pt idx="6">
                  <c:v>1.6494309945585901</c:v>
                </c:pt>
                <c:pt idx="7">
                  <c:v>4.8167676737883403</c:v>
                </c:pt>
                <c:pt idx="8">
                  <c:v>5.9252513704109102</c:v>
                </c:pt>
                <c:pt idx="9">
                  <c:v>-0.72816525093289797</c:v>
                </c:pt>
                <c:pt idx="10">
                  <c:v>3.1753247526919899</c:v>
                </c:pt>
                <c:pt idx="11">
                  <c:v>5.5538989225749296</c:v>
                </c:pt>
                <c:pt idx="12">
                  <c:v>2.6195243264553998</c:v>
                </c:pt>
                <c:pt idx="13">
                  <c:v>2.62105001748114</c:v>
                </c:pt>
                <c:pt idx="14">
                  <c:v>1.9216416278852</c:v>
                </c:pt>
                <c:pt idx="15">
                  <c:v>1.4370238093565399</c:v>
                </c:pt>
                <c:pt idx="16">
                  <c:v>2.00000182191943</c:v>
                </c:pt>
                <c:pt idx="17">
                  <c:v>1.59313600071435</c:v>
                </c:pt>
                <c:pt idx="18">
                  <c:v>2.0747903996557602</c:v>
                </c:pt>
                <c:pt idx="19">
                  <c:v>2.89923416358226</c:v>
                </c:pt>
                <c:pt idx="20">
                  <c:v>2.4194218945778201</c:v>
                </c:pt>
                <c:pt idx="21">
                  <c:v>0.98101513554488096</c:v>
                </c:pt>
                <c:pt idx="22">
                  <c:v>1.9735755573905001</c:v>
                </c:pt>
                <c:pt idx="23">
                  <c:v>0.23483682889304999</c:v>
                </c:pt>
                <c:pt idx="24">
                  <c:v>0.21812893843917699</c:v>
                </c:pt>
              </c:numCache>
            </c:numRef>
          </c:val>
          <c:smooth val="0"/>
          <c:extLst>
            <c:ext xmlns:c16="http://schemas.microsoft.com/office/drawing/2014/chart" uri="{C3380CC4-5D6E-409C-BE32-E72D297353CC}">
              <c16:uniqueId val="{00000002-485E-4EDB-BADB-71EF6EF00AE6}"/>
            </c:ext>
          </c:extLst>
        </c:ser>
        <c:ser>
          <c:idx val="5"/>
          <c:order val="2"/>
          <c:tx>
            <c:strRef>
              <c:f>Historical_Analysis!$R$3</c:f>
              <c:strCache>
                <c:ptCount val="1"/>
                <c:pt idx="0">
                  <c:v>Germany</c:v>
                </c:pt>
              </c:strCache>
            </c:strRef>
          </c:tx>
          <c:spPr>
            <a:ln w="28575" cap="rnd">
              <a:solidFill>
                <a:schemeClr val="accent6"/>
              </a:solidFill>
              <a:round/>
            </a:ln>
            <a:effectLst/>
          </c:spPr>
          <c:marker>
            <c:symbol val="none"/>
          </c:marker>
          <c:cat>
            <c:numRef>
              <c:f>Historical_Analysis!$O$4:$O$28</c:f>
              <c:numCache>
                <c:formatCode>0</c:formatCode>
                <c:ptCount val="25"/>
                <c:pt idx="0" formatCode="General">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Historical_Analysis!$R$4:$R$28</c:f>
              <c:numCache>
                <c:formatCode>0.00</c:formatCode>
                <c:ptCount val="25"/>
                <c:pt idx="0">
                  <c:v>1.44026838719741</c:v>
                </c:pt>
                <c:pt idx="1">
                  <c:v>1.9838573133447099</c:v>
                </c:pt>
                <c:pt idx="2">
                  <c:v>1.42080615551526</c:v>
                </c:pt>
                <c:pt idx="3">
                  <c:v>1.03422218628562</c:v>
                </c:pt>
                <c:pt idx="4">
                  <c:v>1.66573696655991</c:v>
                </c:pt>
                <c:pt idx="5">
                  <c:v>1.54691114751328</c:v>
                </c:pt>
                <c:pt idx="6">
                  <c:v>1.5774264284056301</c:v>
                </c:pt>
                <c:pt idx="7">
                  <c:v>2.2983440070094998</c:v>
                </c:pt>
                <c:pt idx="8">
                  <c:v>2.6283798163721901</c:v>
                </c:pt>
                <c:pt idx="9">
                  <c:v>0.31273900736844601</c:v>
                </c:pt>
                <c:pt idx="10">
                  <c:v>1.1038103778926001</c:v>
                </c:pt>
                <c:pt idx="11">
                  <c:v>2.0751728373587399</c:v>
                </c:pt>
                <c:pt idx="12">
                  <c:v>2.0084888478295602</c:v>
                </c:pt>
                <c:pt idx="13">
                  <c:v>1.5047233025187601</c:v>
                </c:pt>
                <c:pt idx="14">
                  <c:v>0.90679400043424496</c:v>
                </c:pt>
                <c:pt idx="15">
                  <c:v>0.51442613712545604</c:v>
                </c:pt>
                <c:pt idx="16">
                  <c:v>0.49174700844517399</c:v>
                </c:pt>
                <c:pt idx="17">
                  <c:v>1.50949485109628</c:v>
                </c:pt>
                <c:pt idx="18">
                  <c:v>1.73216879766941</c:v>
                </c:pt>
                <c:pt idx="19">
                  <c:v>1.4456597688825299</c:v>
                </c:pt>
                <c:pt idx="20">
                  <c:v>0.14487792581398101</c:v>
                </c:pt>
                <c:pt idx="21">
                  <c:v>3.0666666666667299</c:v>
                </c:pt>
                <c:pt idx="22">
                  <c:v>6.8725743855109602</c:v>
                </c:pt>
                <c:pt idx="23">
                  <c:v>5.9464366772582302</c:v>
                </c:pt>
                <c:pt idx="24">
                  <c:v>2.2564981433876001</c:v>
                </c:pt>
              </c:numCache>
            </c:numRef>
          </c:val>
          <c:smooth val="0"/>
          <c:extLst>
            <c:ext xmlns:c16="http://schemas.microsoft.com/office/drawing/2014/chart" uri="{C3380CC4-5D6E-409C-BE32-E72D297353CC}">
              <c16:uniqueId val="{00000003-485E-4EDB-BADB-71EF6EF00AE6}"/>
            </c:ext>
          </c:extLst>
        </c:ser>
        <c:ser>
          <c:idx val="0"/>
          <c:order val="3"/>
          <c:tx>
            <c:strRef>
              <c:f>Historical_Analysis!$S$3</c:f>
              <c:strCache>
                <c:ptCount val="1"/>
                <c:pt idx="0">
                  <c:v>Russian Federation</c:v>
                </c:pt>
              </c:strCache>
            </c:strRef>
          </c:tx>
          <c:spPr>
            <a:ln w="28575" cap="rnd">
              <a:solidFill>
                <a:schemeClr val="accent1"/>
              </a:solidFill>
              <a:round/>
            </a:ln>
            <a:effectLst/>
          </c:spPr>
          <c:marker>
            <c:symbol val="none"/>
          </c:marker>
          <c:cat>
            <c:numRef>
              <c:f>Historical_Analysis!$O$4:$O$28</c:f>
              <c:numCache>
                <c:formatCode>0</c:formatCode>
                <c:ptCount val="25"/>
                <c:pt idx="0" formatCode="General">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Historical_Analysis!$S$4:$S$28</c:f>
              <c:numCache>
                <c:formatCode>0.00</c:formatCode>
                <c:ptCount val="25"/>
                <c:pt idx="0">
                  <c:v>20.798760655870399</c:v>
                </c:pt>
                <c:pt idx="1">
                  <c:v>21.477007211715801</c:v>
                </c:pt>
                <c:pt idx="2">
                  <c:v>15.7887307914462</c:v>
                </c:pt>
                <c:pt idx="3">
                  <c:v>13.663293022866499</c:v>
                </c:pt>
                <c:pt idx="4">
                  <c:v>10.888615732621499</c:v>
                </c:pt>
                <c:pt idx="5">
                  <c:v>12.6853039507349</c:v>
                </c:pt>
                <c:pt idx="6">
                  <c:v>9.6686545478926398</c:v>
                </c:pt>
                <c:pt idx="7">
                  <c:v>9.0072986886107902</c:v>
                </c:pt>
                <c:pt idx="8">
                  <c:v>14.110767784044199</c:v>
                </c:pt>
                <c:pt idx="9">
                  <c:v>11.6473295764117</c:v>
                </c:pt>
                <c:pt idx="10">
                  <c:v>6.8493923025502399</c:v>
                </c:pt>
                <c:pt idx="11">
                  <c:v>8.4404648593257008</c:v>
                </c:pt>
                <c:pt idx="12">
                  <c:v>5.0747430079914899</c:v>
                </c:pt>
                <c:pt idx="13">
                  <c:v>6.7546683390348603</c:v>
                </c:pt>
                <c:pt idx="14">
                  <c:v>7.8201697001384396</c:v>
                </c:pt>
                <c:pt idx="15">
                  <c:v>15.534395993570101</c:v>
                </c:pt>
                <c:pt idx="16">
                  <c:v>7.0424372541370701</c:v>
                </c:pt>
                <c:pt idx="17">
                  <c:v>3.6833307233449499</c:v>
                </c:pt>
                <c:pt idx="18">
                  <c:v>2.8783138261498</c:v>
                </c:pt>
                <c:pt idx="19">
                  <c:v>4.4720263183790303</c:v>
                </c:pt>
                <c:pt idx="20">
                  <c:v>3.3821979694806701</c:v>
                </c:pt>
                <c:pt idx="21">
                  <c:v>6.6944589195761202</c:v>
                </c:pt>
                <c:pt idx="22">
                  <c:v>13.743679739823101</c:v>
                </c:pt>
                <c:pt idx="23">
                  <c:v>5.8657193174896696</c:v>
                </c:pt>
                <c:pt idx="24">
                  <c:v>8.4348641049672306</c:v>
                </c:pt>
              </c:numCache>
            </c:numRef>
          </c:val>
          <c:smooth val="0"/>
          <c:extLst>
            <c:ext xmlns:c16="http://schemas.microsoft.com/office/drawing/2014/chart" uri="{C3380CC4-5D6E-409C-BE32-E72D297353CC}">
              <c16:uniqueId val="{00000004-485E-4EDB-BADB-71EF6EF00AE6}"/>
            </c:ext>
          </c:extLst>
        </c:ser>
        <c:ser>
          <c:idx val="4"/>
          <c:order val="4"/>
          <c:tx>
            <c:strRef>
              <c:f>Historical_Analysis!$T$3</c:f>
              <c:strCache>
                <c:ptCount val="1"/>
                <c:pt idx="0">
                  <c:v>United States</c:v>
                </c:pt>
              </c:strCache>
            </c:strRef>
          </c:tx>
          <c:spPr>
            <a:ln w="28575" cap="rnd">
              <a:solidFill>
                <a:schemeClr val="accent5"/>
              </a:solidFill>
              <a:round/>
            </a:ln>
            <a:effectLst/>
          </c:spPr>
          <c:marker>
            <c:symbol val="none"/>
          </c:marker>
          <c:cat>
            <c:numRef>
              <c:f>Historical_Analysis!$O$4:$O$28</c:f>
              <c:numCache>
                <c:formatCode>0</c:formatCode>
                <c:ptCount val="25"/>
                <c:pt idx="0" formatCode="General">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Historical_Analysis!$T$4:$T$28</c:f>
              <c:numCache>
                <c:formatCode>0.00</c:formatCode>
                <c:ptCount val="25"/>
                <c:pt idx="0">
                  <c:v>3.3768572714992899</c:v>
                </c:pt>
                <c:pt idx="1">
                  <c:v>2.8261711188540701</c:v>
                </c:pt>
                <c:pt idx="2">
                  <c:v>1.5860316265060099</c:v>
                </c:pt>
                <c:pt idx="3">
                  <c:v>2.27009497336114</c:v>
                </c:pt>
                <c:pt idx="4">
                  <c:v>2.67723669309171</c:v>
                </c:pt>
                <c:pt idx="5">
                  <c:v>3.3927468454955001</c:v>
                </c:pt>
                <c:pt idx="6">
                  <c:v>3.2259441007040399</c:v>
                </c:pt>
                <c:pt idx="7">
                  <c:v>2.8526724815013802</c:v>
                </c:pt>
                <c:pt idx="8">
                  <c:v>3.8391002966509902</c:v>
                </c:pt>
                <c:pt idx="9">
                  <c:v>-0.355546266299747</c:v>
                </c:pt>
                <c:pt idx="10">
                  <c:v>1.6400434423899</c:v>
                </c:pt>
                <c:pt idx="11">
                  <c:v>3.1568415686220002</c:v>
                </c:pt>
                <c:pt idx="12">
                  <c:v>2.0693372652606601</c:v>
                </c:pt>
                <c:pt idx="13">
                  <c:v>1.46483265562716</c:v>
                </c:pt>
                <c:pt idx="14">
                  <c:v>1.62222297740817</c:v>
                </c:pt>
                <c:pt idx="15">
                  <c:v>0.11862713555245</c:v>
                </c:pt>
                <c:pt idx="16">
                  <c:v>1.26158320570535</c:v>
                </c:pt>
                <c:pt idx="17">
                  <c:v>2.1301100036596101</c:v>
                </c:pt>
                <c:pt idx="18">
                  <c:v>2.4425832969281598</c:v>
                </c:pt>
                <c:pt idx="19">
                  <c:v>1.8122100752601999</c:v>
                </c:pt>
                <c:pt idx="20">
                  <c:v>1.23358439630629</c:v>
                </c:pt>
                <c:pt idx="21">
                  <c:v>4.6978588636374203</c:v>
                </c:pt>
                <c:pt idx="22">
                  <c:v>8.0027998205212096</c:v>
                </c:pt>
                <c:pt idx="23">
                  <c:v>4.1163383837448704</c:v>
                </c:pt>
                <c:pt idx="24">
                  <c:v>2.9495252048520699</c:v>
                </c:pt>
              </c:numCache>
            </c:numRef>
          </c:val>
          <c:smooth val="0"/>
          <c:extLst>
            <c:ext xmlns:c16="http://schemas.microsoft.com/office/drawing/2014/chart" uri="{C3380CC4-5D6E-409C-BE32-E72D297353CC}">
              <c16:uniqueId val="{00000005-485E-4EDB-BADB-71EF6EF00AE6}"/>
            </c:ext>
          </c:extLst>
        </c:ser>
        <c:dLbls>
          <c:showLegendKey val="0"/>
          <c:showVal val="0"/>
          <c:showCatName val="0"/>
          <c:showSerName val="0"/>
          <c:showPercent val="0"/>
          <c:showBubbleSize val="0"/>
        </c:dLbls>
        <c:smooth val="0"/>
        <c:axId val="1406131888"/>
        <c:axId val="1443292240"/>
      </c:lineChart>
      <c:catAx>
        <c:axId val="14061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292240"/>
        <c:crosses val="autoZero"/>
        <c:auto val="1"/>
        <c:lblAlgn val="ctr"/>
        <c:lblOffset val="100"/>
        <c:noMultiLvlLbl val="0"/>
      </c:catAx>
      <c:valAx>
        <c:axId val="1443292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3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GDP per Capita by Country (2000–2024)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Historical_Analysis!$I$3</c:f>
              <c:strCache>
                <c:ptCount val="1"/>
                <c:pt idx="0">
                  <c:v>India</c:v>
                </c:pt>
              </c:strCache>
            </c:strRef>
          </c:tx>
          <c:spPr>
            <a:ln w="28575" cap="rnd">
              <a:solidFill>
                <a:schemeClr val="accent3"/>
              </a:solidFill>
              <a:round/>
            </a:ln>
            <a:effectLst/>
          </c:spPr>
          <c:marker>
            <c:symbol val="none"/>
          </c:marker>
          <c:cat>
            <c:numRef>
              <c:f>Historical_Analysis!$H$4:$H$28</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Historical_Analysis!$I$4:$I$28</c:f>
              <c:numCache>
                <c:formatCode>0.00</c:formatCode>
                <c:ptCount val="25"/>
                <c:pt idx="0">
                  <c:v>442.75021893726324</c:v>
                </c:pt>
                <c:pt idx="1">
                  <c:v>450.35790051412818</c:v>
                </c:pt>
                <c:pt idx="2">
                  <c:v>469.14992897392727</c:v>
                </c:pt>
                <c:pt idx="3">
                  <c:v>544.14313354500223</c:v>
                </c:pt>
                <c:pt idx="4">
                  <c:v>624.25882651006611</c:v>
                </c:pt>
                <c:pt idx="5">
                  <c:v>710.48808040894892</c:v>
                </c:pt>
                <c:pt idx="6">
                  <c:v>801.66835365902227</c:v>
                </c:pt>
                <c:pt idx="7">
                  <c:v>1021.8870770682593</c:v>
                </c:pt>
                <c:pt idx="8">
                  <c:v>992.51958492382755</c:v>
                </c:pt>
                <c:pt idx="9">
                  <c:v>1094.9497459843622</c:v>
                </c:pt>
                <c:pt idx="10">
                  <c:v>1347.5193907136679</c:v>
                </c:pt>
                <c:pt idx="11">
                  <c:v>1445.4612748603658</c:v>
                </c:pt>
                <c:pt idx="12">
                  <c:v>1429.321995200319</c:v>
                </c:pt>
                <c:pt idx="13">
                  <c:v>1432.843975121953</c:v>
                </c:pt>
                <c:pt idx="14">
                  <c:v>1553.8839607511832</c:v>
                </c:pt>
                <c:pt idx="15">
                  <c:v>1583.9981590798479</c:v>
                </c:pt>
                <c:pt idx="16">
                  <c:v>1707.5089291224338</c:v>
                </c:pt>
                <c:pt idx="17">
                  <c:v>1950.1046828086635</c:v>
                </c:pt>
                <c:pt idx="18">
                  <c:v>1966.2545517167889</c:v>
                </c:pt>
                <c:pt idx="19">
                  <c:v>2041.4286369858535</c:v>
                </c:pt>
                <c:pt idx="20">
                  <c:v>1907.042516376687</c:v>
                </c:pt>
                <c:pt idx="21">
                  <c:v>2239.6138436748224</c:v>
                </c:pt>
                <c:pt idx="22">
                  <c:v>2279.9814571936909</c:v>
                </c:pt>
                <c:pt idx="23">
                  <c:v>2434.4482634098913</c:v>
                </c:pt>
                <c:pt idx="24">
                  <c:v>2591.9916607121977</c:v>
                </c:pt>
              </c:numCache>
            </c:numRef>
          </c:val>
          <c:smooth val="0"/>
          <c:extLst>
            <c:ext xmlns:c16="http://schemas.microsoft.com/office/drawing/2014/chart" uri="{C3380CC4-5D6E-409C-BE32-E72D297353CC}">
              <c16:uniqueId val="{00000002-DC6E-4F10-9272-D2626358013B}"/>
            </c:ext>
          </c:extLst>
        </c:ser>
        <c:ser>
          <c:idx val="3"/>
          <c:order val="1"/>
          <c:tx>
            <c:strRef>
              <c:f>Historical_Analysis!$J$3</c:f>
              <c:strCache>
                <c:ptCount val="1"/>
                <c:pt idx="0">
                  <c:v>China</c:v>
                </c:pt>
              </c:strCache>
            </c:strRef>
          </c:tx>
          <c:spPr>
            <a:ln w="28575" cap="rnd">
              <a:solidFill>
                <a:schemeClr val="accent4"/>
              </a:solidFill>
              <a:round/>
            </a:ln>
            <a:effectLst/>
          </c:spPr>
          <c:marker>
            <c:symbol val="none"/>
          </c:marker>
          <c:cat>
            <c:numRef>
              <c:f>Historical_Analysis!$H$4:$H$28</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Historical_Analysis!$J$4:$J$28</c:f>
              <c:numCache>
                <c:formatCode>0.00</c:formatCode>
                <c:ptCount val="25"/>
                <c:pt idx="0">
                  <c:v>969.19951369628666</c:v>
                </c:pt>
                <c:pt idx="1">
                  <c:v>1065.4059757451932</c:v>
                </c:pt>
                <c:pt idx="2">
                  <c:v>1163.5595767342556</c:v>
                </c:pt>
                <c:pt idx="3">
                  <c:v>1306.9724540855702</c:v>
                </c:pt>
                <c:pt idx="4">
                  <c:v>1530.9272621572329</c:v>
                </c:pt>
                <c:pt idx="5">
                  <c:v>1777.644968284641</c:v>
                </c:pt>
                <c:pt idx="6">
                  <c:v>2129.2569699961318</c:v>
                </c:pt>
                <c:pt idx="7">
                  <c:v>2734.7270987769271</c:v>
                </c:pt>
                <c:pt idx="8">
                  <c:v>3523.4430206521301</c:v>
                </c:pt>
                <c:pt idx="9">
                  <c:v>3898.2445915881062</c:v>
                </c:pt>
                <c:pt idx="10">
                  <c:v>4629.2455171007732</c:v>
                </c:pt>
                <c:pt idx="11">
                  <c:v>5703.7602797334557</c:v>
                </c:pt>
                <c:pt idx="12">
                  <c:v>6405.0574241349032</c:v>
                </c:pt>
                <c:pt idx="13">
                  <c:v>7147.0351862234411</c:v>
                </c:pt>
                <c:pt idx="14">
                  <c:v>7781.0659748497383</c:v>
                </c:pt>
                <c:pt idx="15">
                  <c:v>8175.3328507739288</c:v>
                </c:pt>
                <c:pt idx="16">
                  <c:v>8254.8685932035678</c:v>
                </c:pt>
                <c:pt idx="17">
                  <c:v>8979.6765270985634</c:v>
                </c:pt>
                <c:pt idx="18">
                  <c:v>10085.663814881918</c:v>
                </c:pt>
                <c:pt idx="19">
                  <c:v>10342.90095243346</c:v>
                </c:pt>
                <c:pt idx="20">
                  <c:v>10627.463798961868</c:v>
                </c:pt>
                <c:pt idx="21">
                  <c:v>12887.435724294062</c:v>
                </c:pt>
                <c:pt idx="22">
                  <c:v>12970.605641432652</c:v>
                </c:pt>
                <c:pt idx="23">
                  <c:v>12951.178239704273</c:v>
                </c:pt>
                <c:pt idx="24">
                  <c:v>13293.116226936598</c:v>
                </c:pt>
              </c:numCache>
            </c:numRef>
          </c:val>
          <c:smooth val="0"/>
          <c:extLst>
            <c:ext xmlns:c16="http://schemas.microsoft.com/office/drawing/2014/chart" uri="{C3380CC4-5D6E-409C-BE32-E72D297353CC}">
              <c16:uniqueId val="{00000003-DC6E-4F10-9272-D2626358013B}"/>
            </c:ext>
          </c:extLst>
        </c:ser>
        <c:ser>
          <c:idx val="4"/>
          <c:order val="2"/>
          <c:tx>
            <c:strRef>
              <c:f>Historical_Analysis!$K$3</c:f>
              <c:strCache>
                <c:ptCount val="1"/>
                <c:pt idx="0">
                  <c:v>Germany</c:v>
                </c:pt>
              </c:strCache>
            </c:strRef>
          </c:tx>
          <c:spPr>
            <a:ln w="28575" cap="rnd">
              <a:solidFill>
                <a:schemeClr val="accent5"/>
              </a:solidFill>
              <a:round/>
            </a:ln>
            <a:effectLst/>
          </c:spPr>
          <c:marker>
            <c:symbol val="none"/>
          </c:marker>
          <c:cat>
            <c:numRef>
              <c:f>Historical_Analysis!$H$4:$H$28</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Historical_Analysis!$K$4:$K$28</c:f>
              <c:numCache>
                <c:formatCode>0.00</c:formatCode>
                <c:ptCount val="25"/>
                <c:pt idx="0">
                  <c:v>23925.855990199114</c:v>
                </c:pt>
                <c:pt idx="1">
                  <c:v>23878.364147165095</c:v>
                </c:pt>
                <c:pt idx="2">
                  <c:v>25486.594200874752</c:v>
                </c:pt>
                <c:pt idx="3">
                  <c:v>30711.102251133085</c:v>
                </c:pt>
                <c:pt idx="4">
                  <c:v>34566.73591437353</c:v>
                </c:pt>
                <c:pt idx="5">
                  <c:v>35084.436354626887</c:v>
                </c:pt>
                <c:pt idx="6">
                  <c:v>36980.334994895376</c:v>
                </c:pt>
                <c:pt idx="7">
                  <c:v>42350.921721148872</c:v>
                </c:pt>
                <c:pt idx="8">
                  <c:v>46379.164795347875</c:v>
                </c:pt>
                <c:pt idx="9">
                  <c:v>42471.88686252258</c:v>
                </c:pt>
                <c:pt idx="10">
                  <c:v>42396.966597629347</c:v>
                </c:pt>
                <c:pt idx="11">
                  <c:v>47630.976188357236</c:v>
                </c:pt>
                <c:pt idx="12">
                  <c:v>44718.01592140687</c:v>
                </c:pt>
                <c:pt idx="13">
                  <c:v>47206.83535142419</c:v>
                </c:pt>
                <c:pt idx="14">
                  <c:v>48959.599120313287</c:v>
                </c:pt>
                <c:pt idx="15">
                  <c:v>41929.754911072167</c:v>
                </c:pt>
                <c:pt idx="16">
                  <c:v>42948.938193269365</c:v>
                </c:pt>
                <c:pt idx="17">
                  <c:v>45553.934149533859</c:v>
                </c:pt>
                <c:pt idx="18">
                  <c:v>48916.16866121543</c:v>
                </c:pt>
                <c:pt idx="19">
                  <c:v>47656.199739747026</c:v>
                </c:pt>
                <c:pt idx="20">
                  <c:v>47394.873450446918</c:v>
                </c:pt>
                <c:pt idx="21">
                  <c:v>52349.245999442217</c:v>
                </c:pt>
                <c:pt idx="22">
                  <c:v>50506.517963854327</c:v>
                </c:pt>
                <c:pt idx="23">
                  <c:v>54776.766823549093</c:v>
                </c:pt>
                <c:pt idx="24">
                  <c:v>56103.732318255446</c:v>
                </c:pt>
              </c:numCache>
            </c:numRef>
          </c:val>
          <c:smooth val="0"/>
          <c:extLst>
            <c:ext xmlns:c16="http://schemas.microsoft.com/office/drawing/2014/chart" uri="{C3380CC4-5D6E-409C-BE32-E72D297353CC}">
              <c16:uniqueId val="{00000004-DC6E-4F10-9272-D2626358013B}"/>
            </c:ext>
          </c:extLst>
        </c:ser>
        <c:ser>
          <c:idx val="5"/>
          <c:order val="3"/>
          <c:tx>
            <c:strRef>
              <c:f>Historical_Analysis!$L$3</c:f>
              <c:strCache>
                <c:ptCount val="1"/>
                <c:pt idx="0">
                  <c:v>Russian Federation</c:v>
                </c:pt>
              </c:strCache>
            </c:strRef>
          </c:tx>
          <c:spPr>
            <a:ln w="28575" cap="rnd">
              <a:solidFill>
                <a:schemeClr val="accent6"/>
              </a:solidFill>
              <a:round/>
            </a:ln>
            <a:effectLst/>
          </c:spPr>
          <c:marker>
            <c:symbol val="none"/>
          </c:marker>
          <c:cat>
            <c:numRef>
              <c:f>Historical_Analysis!$H$4:$H$28</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Historical_Analysis!$L$4:$L$28</c:f>
              <c:numCache>
                <c:formatCode>0.00</c:formatCode>
                <c:ptCount val="25"/>
                <c:pt idx="0">
                  <c:v>1771.59411621094</c:v>
                </c:pt>
                <c:pt idx="1">
                  <c:v>2100.3525390625</c:v>
                </c:pt>
                <c:pt idx="2">
                  <c:v>2377.52954101563</c:v>
                </c:pt>
                <c:pt idx="3">
                  <c:v>2975.123046875</c:v>
                </c:pt>
                <c:pt idx="4">
                  <c:v>4102.36474609375</c:v>
                </c:pt>
                <c:pt idx="5">
                  <c:v>5323.455078125</c:v>
                </c:pt>
                <c:pt idx="6">
                  <c:v>6920.19970703125</c:v>
                </c:pt>
                <c:pt idx="7">
                  <c:v>9101.2392578125</c:v>
                </c:pt>
                <c:pt idx="8">
                  <c:v>11635.2841796875</c:v>
                </c:pt>
                <c:pt idx="9">
                  <c:v>8562.82421875</c:v>
                </c:pt>
                <c:pt idx="10">
                  <c:v>10674.990234375</c:v>
                </c:pt>
                <c:pt idx="11">
                  <c:v>14305.33203125</c:v>
                </c:pt>
                <c:pt idx="12">
                  <c:v>15401.8515625</c:v>
                </c:pt>
                <c:pt idx="13">
                  <c:v>15941.4482421875</c:v>
                </c:pt>
                <c:pt idx="14">
                  <c:v>14055.47265625</c:v>
                </c:pt>
                <c:pt idx="15">
                  <c:v>9277.7138671875</c:v>
                </c:pt>
                <c:pt idx="16">
                  <c:v>8663.158203125</c:v>
                </c:pt>
                <c:pt idx="17">
                  <c:v>10658.9130859375</c:v>
                </c:pt>
                <c:pt idx="18">
                  <c:v>11211.8876953125</c:v>
                </c:pt>
                <c:pt idx="19">
                  <c:v>11447.701171875</c:v>
                </c:pt>
                <c:pt idx="20">
                  <c:v>10108.3271484375</c:v>
                </c:pt>
                <c:pt idx="21">
                  <c:v>12425.029296875</c:v>
                </c:pt>
                <c:pt idx="22">
                  <c:v>15625.6328125</c:v>
                </c:pt>
                <c:pt idx="23">
                  <c:v>13986.9951171875</c:v>
                </c:pt>
                <c:pt idx="24">
                  <c:v>14961.8974609375</c:v>
                </c:pt>
              </c:numCache>
            </c:numRef>
          </c:val>
          <c:smooth val="0"/>
          <c:extLst>
            <c:ext xmlns:c16="http://schemas.microsoft.com/office/drawing/2014/chart" uri="{C3380CC4-5D6E-409C-BE32-E72D297353CC}">
              <c16:uniqueId val="{00000005-DC6E-4F10-9272-D2626358013B}"/>
            </c:ext>
          </c:extLst>
        </c:ser>
        <c:ser>
          <c:idx val="0"/>
          <c:order val="4"/>
          <c:tx>
            <c:strRef>
              <c:f>Historical_Analysis!$M$3</c:f>
              <c:strCache>
                <c:ptCount val="1"/>
                <c:pt idx="0">
                  <c:v>United States</c:v>
                </c:pt>
              </c:strCache>
            </c:strRef>
          </c:tx>
          <c:spPr>
            <a:ln w="28575" cap="rnd">
              <a:solidFill>
                <a:schemeClr val="accent1"/>
              </a:solidFill>
              <a:round/>
            </a:ln>
            <a:effectLst/>
          </c:spPr>
          <c:marker>
            <c:symbol val="none"/>
          </c:marker>
          <c:cat>
            <c:numRef>
              <c:f>Historical_Analysis!$H$4:$H$28</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Historical_Analysis!$M$4:$M$28</c:f>
              <c:numCache>
                <c:formatCode>0.00</c:formatCode>
                <c:ptCount val="25"/>
                <c:pt idx="0">
                  <c:v>36329.970259575079</c:v>
                </c:pt>
                <c:pt idx="1">
                  <c:v>37133.620397351704</c:v>
                </c:pt>
                <c:pt idx="2">
                  <c:v>37997.742430024198</c:v>
                </c:pt>
                <c:pt idx="3">
                  <c:v>39490.302390317607</c:v>
                </c:pt>
                <c:pt idx="4">
                  <c:v>41724.641198261379</c:v>
                </c:pt>
                <c:pt idx="5">
                  <c:v>44123.399647002567</c:v>
                </c:pt>
                <c:pt idx="6">
                  <c:v>46301.987648551891</c:v>
                </c:pt>
                <c:pt idx="7">
                  <c:v>48050.227412195047</c:v>
                </c:pt>
                <c:pt idx="8">
                  <c:v>48570.05942696015</c:v>
                </c:pt>
                <c:pt idx="9">
                  <c:v>47194.95008938721</c:v>
                </c:pt>
                <c:pt idx="10">
                  <c:v>48642.631208821302</c:v>
                </c:pt>
                <c:pt idx="11">
                  <c:v>50024.8812320773</c:v>
                </c:pt>
                <c:pt idx="12">
                  <c:v>51708.394061408188</c:v>
                </c:pt>
                <c:pt idx="13">
                  <c:v>53297.386290159528</c:v>
                </c:pt>
                <c:pt idx="14">
                  <c:v>55153.394018296698</c:v>
                </c:pt>
                <c:pt idx="15">
                  <c:v>56849.46979231594</c:v>
                </c:pt>
                <c:pt idx="16">
                  <c:v>57976.628204291039</c:v>
                </c:pt>
                <c:pt idx="17">
                  <c:v>60047.719072830689</c:v>
                </c:pt>
                <c:pt idx="18">
                  <c:v>62875.666138272842</c:v>
                </c:pt>
                <c:pt idx="19">
                  <c:v>65227.95659110383</c:v>
                </c:pt>
                <c:pt idx="20">
                  <c:v>64465.297141574825</c:v>
                </c:pt>
                <c:pt idx="21">
                  <c:v>71441.231980594675</c:v>
                </c:pt>
                <c:pt idx="22">
                  <c:v>78008.689581187704</c:v>
                </c:pt>
                <c:pt idx="23">
                  <c:v>82586.784770789425</c:v>
                </c:pt>
                <c:pt idx="24">
                  <c:v>86169.664158191736</c:v>
                </c:pt>
              </c:numCache>
            </c:numRef>
          </c:val>
          <c:smooth val="0"/>
          <c:extLst>
            <c:ext xmlns:c16="http://schemas.microsoft.com/office/drawing/2014/chart" uri="{C3380CC4-5D6E-409C-BE32-E72D297353CC}">
              <c16:uniqueId val="{00000000-6992-4FDF-9EB5-565C8CD1BEC6}"/>
            </c:ext>
          </c:extLst>
        </c:ser>
        <c:dLbls>
          <c:showLegendKey val="0"/>
          <c:showVal val="0"/>
          <c:showCatName val="0"/>
          <c:showSerName val="0"/>
          <c:showPercent val="0"/>
          <c:showBubbleSize val="0"/>
        </c:dLbls>
        <c:smooth val="0"/>
        <c:axId val="1533960336"/>
        <c:axId val="1443305680"/>
      </c:lineChart>
      <c:catAx>
        <c:axId val="15339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305680"/>
        <c:crosses val="autoZero"/>
        <c:auto val="1"/>
        <c:lblAlgn val="ctr"/>
        <c:lblOffset val="100"/>
        <c:noMultiLvlLbl val="0"/>
      </c:catAx>
      <c:valAx>
        <c:axId val="144330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6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Unemployment Rate by Country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Historical_Analysis!$P$31</c:f>
              <c:strCache>
                <c:ptCount val="1"/>
                <c:pt idx="0">
                  <c:v>India</c:v>
                </c:pt>
              </c:strCache>
            </c:strRef>
          </c:tx>
          <c:spPr>
            <a:ln w="28575" cap="rnd">
              <a:solidFill>
                <a:schemeClr val="accent2"/>
              </a:solidFill>
              <a:round/>
            </a:ln>
            <a:effectLst/>
          </c:spPr>
          <c:marker>
            <c:symbol val="none"/>
          </c:marker>
          <c:cat>
            <c:numRef>
              <c:f>Historical_Analysis!$O$32:$O$56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Historical_Analysis!$P$32:$P$56</c:f>
              <c:numCache>
                <c:formatCode>0.00</c:formatCode>
                <c:ptCount val="25"/>
                <c:pt idx="0">
                  <c:v>7.5890000000000004</c:v>
                </c:pt>
                <c:pt idx="1">
                  <c:v>7.6109999999999998</c:v>
                </c:pt>
                <c:pt idx="2">
                  <c:v>7.681</c:v>
                </c:pt>
                <c:pt idx="3">
                  <c:v>7.633</c:v>
                </c:pt>
                <c:pt idx="4">
                  <c:v>7.5979999999999999</c:v>
                </c:pt>
                <c:pt idx="5">
                  <c:v>7.5510000000000002</c:v>
                </c:pt>
                <c:pt idx="6">
                  <c:v>7.5529999999999999</c:v>
                </c:pt>
                <c:pt idx="7">
                  <c:v>7.5620000000000003</c:v>
                </c:pt>
                <c:pt idx="8">
                  <c:v>7.6289999999999996</c:v>
                </c:pt>
                <c:pt idx="9">
                  <c:v>7.6360000000000001</c:v>
                </c:pt>
                <c:pt idx="10">
                  <c:v>7.6310000000000002</c:v>
                </c:pt>
                <c:pt idx="11">
                  <c:v>7.609</c:v>
                </c:pt>
                <c:pt idx="12">
                  <c:v>7.6449999999999996</c:v>
                </c:pt>
                <c:pt idx="13">
                  <c:v>7.6779999999999999</c:v>
                </c:pt>
                <c:pt idx="14">
                  <c:v>7.6559999999999997</c:v>
                </c:pt>
                <c:pt idx="15">
                  <c:v>7.6289999999999996</c:v>
                </c:pt>
                <c:pt idx="16">
                  <c:v>7.6109999999999998</c:v>
                </c:pt>
                <c:pt idx="17">
                  <c:v>7.6260000000000003</c:v>
                </c:pt>
                <c:pt idx="18">
                  <c:v>7.6520000000000001</c:v>
                </c:pt>
                <c:pt idx="19">
                  <c:v>6.51</c:v>
                </c:pt>
                <c:pt idx="20">
                  <c:v>7.859</c:v>
                </c:pt>
                <c:pt idx="21">
                  <c:v>6.38</c:v>
                </c:pt>
                <c:pt idx="22">
                  <c:v>4.8220000000000001</c:v>
                </c:pt>
                <c:pt idx="23">
                  <c:v>4.1719999999999997</c:v>
                </c:pt>
                <c:pt idx="24">
                  <c:v>4.173</c:v>
                </c:pt>
              </c:numCache>
            </c:numRef>
          </c:val>
          <c:smooth val="0"/>
          <c:extLst>
            <c:ext xmlns:c16="http://schemas.microsoft.com/office/drawing/2014/chart" uri="{C3380CC4-5D6E-409C-BE32-E72D297353CC}">
              <c16:uniqueId val="{00000000-2BBE-4170-838A-31DEDD3C90C7}"/>
            </c:ext>
          </c:extLst>
        </c:ser>
        <c:ser>
          <c:idx val="2"/>
          <c:order val="1"/>
          <c:tx>
            <c:strRef>
              <c:f>Historical_Analysis!$Q$31</c:f>
              <c:strCache>
                <c:ptCount val="1"/>
                <c:pt idx="0">
                  <c:v>China</c:v>
                </c:pt>
              </c:strCache>
            </c:strRef>
          </c:tx>
          <c:spPr>
            <a:ln w="28575" cap="rnd">
              <a:solidFill>
                <a:schemeClr val="accent3"/>
              </a:solidFill>
              <a:round/>
            </a:ln>
            <a:effectLst/>
          </c:spPr>
          <c:marker>
            <c:symbol val="none"/>
          </c:marker>
          <c:cat>
            <c:numRef>
              <c:f>Historical_Analysis!$O$32:$O$56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Historical_Analysis!$Q$32:$Q$56</c:f>
              <c:numCache>
                <c:formatCode>General</c:formatCode>
                <c:ptCount val="25"/>
                <c:pt idx="0">
                  <c:v>3.26</c:v>
                </c:pt>
                <c:pt idx="1">
                  <c:v>3.8</c:v>
                </c:pt>
                <c:pt idx="2">
                  <c:v>4.24</c:v>
                </c:pt>
                <c:pt idx="3">
                  <c:v>4.58</c:v>
                </c:pt>
                <c:pt idx="4">
                  <c:v>4.49</c:v>
                </c:pt>
                <c:pt idx="5">
                  <c:v>4.5199999999999996</c:v>
                </c:pt>
                <c:pt idx="6">
                  <c:v>4.43</c:v>
                </c:pt>
                <c:pt idx="7">
                  <c:v>4.3499999999999996</c:v>
                </c:pt>
                <c:pt idx="8">
                  <c:v>4.59</c:v>
                </c:pt>
                <c:pt idx="9">
                  <c:v>4.72</c:v>
                </c:pt>
                <c:pt idx="10">
                  <c:v>4.53</c:v>
                </c:pt>
                <c:pt idx="11">
                  <c:v>4.55</c:v>
                </c:pt>
                <c:pt idx="12">
                  <c:v>4.58</c:v>
                </c:pt>
                <c:pt idx="13">
                  <c:v>4.5999999999999996</c:v>
                </c:pt>
                <c:pt idx="14">
                  <c:v>4.63</c:v>
                </c:pt>
                <c:pt idx="15">
                  <c:v>4.6500000000000004</c:v>
                </c:pt>
                <c:pt idx="16">
                  <c:v>4.5599999999999996</c:v>
                </c:pt>
                <c:pt idx="17">
                  <c:v>4.47</c:v>
                </c:pt>
                <c:pt idx="18">
                  <c:v>4.3099999999999996</c:v>
                </c:pt>
                <c:pt idx="19">
                  <c:v>4.5599999999999996</c:v>
                </c:pt>
                <c:pt idx="20">
                  <c:v>5</c:v>
                </c:pt>
                <c:pt idx="21">
                  <c:v>4.55</c:v>
                </c:pt>
                <c:pt idx="22">
                  <c:v>4.9800000000000004</c:v>
                </c:pt>
                <c:pt idx="23">
                  <c:v>4.67</c:v>
                </c:pt>
                <c:pt idx="24">
                  <c:v>4.59</c:v>
                </c:pt>
              </c:numCache>
            </c:numRef>
          </c:val>
          <c:smooth val="0"/>
          <c:extLst>
            <c:ext xmlns:c16="http://schemas.microsoft.com/office/drawing/2014/chart" uri="{C3380CC4-5D6E-409C-BE32-E72D297353CC}">
              <c16:uniqueId val="{00000001-2BBE-4170-838A-31DEDD3C90C7}"/>
            </c:ext>
          </c:extLst>
        </c:ser>
        <c:ser>
          <c:idx val="3"/>
          <c:order val="2"/>
          <c:tx>
            <c:strRef>
              <c:f>Historical_Analysis!$R$31</c:f>
              <c:strCache>
                <c:ptCount val="1"/>
                <c:pt idx="0">
                  <c:v>Germany</c:v>
                </c:pt>
              </c:strCache>
            </c:strRef>
          </c:tx>
          <c:spPr>
            <a:ln w="28575" cap="rnd">
              <a:solidFill>
                <a:schemeClr val="accent4"/>
              </a:solidFill>
              <a:round/>
            </a:ln>
            <a:effectLst/>
          </c:spPr>
          <c:marker>
            <c:symbol val="none"/>
          </c:marker>
          <c:cat>
            <c:numRef>
              <c:f>Historical_Analysis!$O$32:$O$56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Historical_Analysis!$R$32:$R$56</c:f>
              <c:numCache>
                <c:formatCode>General</c:formatCode>
                <c:ptCount val="25"/>
                <c:pt idx="0">
                  <c:v>7.9169999999999998</c:v>
                </c:pt>
                <c:pt idx="1">
                  <c:v>7.7729999999999997</c:v>
                </c:pt>
                <c:pt idx="2">
                  <c:v>8.4819999999999993</c:v>
                </c:pt>
                <c:pt idx="3">
                  <c:v>9.7789999999999999</c:v>
                </c:pt>
                <c:pt idx="4">
                  <c:v>10.727</c:v>
                </c:pt>
                <c:pt idx="5">
                  <c:v>11.193</c:v>
                </c:pt>
                <c:pt idx="6">
                  <c:v>10.276999999999999</c:v>
                </c:pt>
                <c:pt idx="7">
                  <c:v>8.7319999999999993</c:v>
                </c:pt>
                <c:pt idx="8">
                  <c:v>7.508</c:v>
                </c:pt>
                <c:pt idx="9">
                  <c:v>7.88</c:v>
                </c:pt>
                <c:pt idx="10">
                  <c:v>7.0430000000000001</c:v>
                </c:pt>
                <c:pt idx="11">
                  <c:v>5.9669999999999996</c:v>
                </c:pt>
                <c:pt idx="12">
                  <c:v>5.3719999999999999</c:v>
                </c:pt>
                <c:pt idx="13">
                  <c:v>5.3159999999999998</c:v>
                </c:pt>
                <c:pt idx="14">
                  <c:v>4.9790000000000001</c:v>
                </c:pt>
                <c:pt idx="15">
                  <c:v>4.6120000000000001</c:v>
                </c:pt>
                <c:pt idx="16">
                  <c:v>4.1040000000000001</c:v>
                </c:pt>
                <c:pt idx="17">
                  <c:v>3.7810000000000001</c:v>
                </c:pt>
                <c:pt idx="18">
                  <c:v>3.3839999999999999</c:v>
                </c:pt>
                <c:pt idx="19">
                  <c:v>3.1629999999999998</c:v>
                </c:pt>
                <c:pt idx="20">
                  <c:v>3.8809999999999998</c:v>
                </c:pt>
                <c:pt idx="21">
                  <c:v>3.5939999999999999</c:v>
                </c:pt>
                <c:pt idx="22">
                  <c:v>3.137</c:v>
                </c:pt>
                <c:pt idx="23">
                  <c:v>3.0710000000000002</c:v>
                </c:pt>
                <c:pt idx="24">
                  <c:v>3.4</c:v>
                </c:pt>
              </c:numCache>
            </c:numRef>
          </c:val>
          <c:smooth val="0"/>
          <c:extLst>
            <c:ext xmlns:c16="http://schemas.microsoft.com/office/drawing/2014/chart" uri="{C3380CC4-5D6E-409C-BE32-E72D297353CC}">
              <c16:uniqueId val="{00000002-2BBE-4170-838A-31DEDD3C90C7}"/>
            </c:ext>
          </c:extLst>
        </c:ser>
        <c:ser>
          <c:idx val="4"/>
          <c:order val="3"/>
          <c:tx>
            <c:strRef>
              <c:f>Historical_Analysis!$S$31</c:f>
              <c:strCache>
                <c:ptCount val="1"/>
                <c:pt idx="0">
                  <c:v>Russian Federation</c:v>
                </c:pt>
              </c:strCache>
            </c:strRef>
          </c:tx>
          <c:spPr>
            <a:ln w="28575" cap="rnd">
              <a:solidFill>
                <a:schemeClr val="accent5"/>
              </a:solidFill>
              <a:round/>
            </a:ln>
            <a:effectLst/>
          </c:spPr>
          <c:marker>
            <c:symbol val="none"/>
          </c:marker>
          <c:cat>
            <c:numRef>
              <c:f>Historical_Analysis!$O$32:$O$56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Historical_Analysis!$S$32:$S$56</c:f>
              <c:numCache>
                <c:formatCode>General</c:formatCode>
                <c:ptCount val="25"/>
                <c:pt idx="0">
                  <c:v>10.581</c:v>
                </c:pt>
                <c:pt idx="1">
                  <c:v>8.9779999999999998</c:v>
                </c:pt>
                <c:pt idx="2">
                  <c:v>7.875</c:v>
                </c:pt>
                <c:pt idx="3">
                  <c:v>8.2100000000000009</c:v>
                </c:pt>
                <c:pt idx="4">
                  <c:v>7.7629999999999999</c:v>
                </c:pt>
                <c:pt idx="5">
                  <c:v>7.1239999999999997</c:v>
                </c:pt>
                <c:pt idx="6">
                  <c:v>7.0549999999999997</c:v>
                </c:pt>
                <c:pt idx="7">
                  <c:v>6.0019999999999998</c:v>
                </c:pt>
                <c:pt idx="8">
                  <c:v>6.2050000000000001</c:v>
                </c:pt>
                <c:pt idx="9">
                  <c:v>8.3010000000000002</c:v>
                </c:pt>
                <c:pt idx="10">
                  <c:v>7.407</c:v>
                </c:pt>
                <c:pt idx="11">
                  <c:v>6.5709999999999997</c:v>
                </c:pt>
                <c:pt idx="12">
                  <c:v>5.484</c:v>
                </c:pt>
                <c:pt idx="13">
                  <c:v>5.5129999999999999</c:v>
                </c:pt>
                <c:pt idx="14">
                  <c:v>5.2119999999999997</c:v>
                </c:pt>
                <c:pt idx="15">
                  <c:v>5.6150000000000002</c:v>
                </c:pt>
                <c:pt idx="16">
                  <c:v>5.5910000000000002</c:v>
                </c:pt>
                <c:pt idx="17">
                  <c:v>5.2380000000000004</c:v>
                </c:pt>
                <c:pt idx="18">
                  <c:v>4.8710000000000004</c:v>
                </c:pt>
                <c:pt idx="19">
                  <c:v>4.5129999999999999</c:v>
                </c:pt>
                <c:pt idx="20">
                  <c:v>5.62</c:v>
                </c:pt>
                <c:pt idx="21">
                  <c:v>4.7489999999999997</c:v>
                </c:pt>
                <c:pt idx="22">
                  <c:v>3.867</c:v>
                </c:pt>
                <c:pt idx="23">
                  <c:v>3.0760000000000001</c:v>
                </c:pt>
                <c:pt idx="24">
                  <c:v>2.4300000000000002</c:v>
                </c:pt>
              </c:numCache>
            </c:numRef>
          </c:val>
          <c:smooth val="0"/>
          <c:extLst>
            <c:ext xmlns:c16="http://schemas.microsoft.com/office/drawing/2014/chart" uri="{C3380CC4-5D6E-409C-BE32-E72D297353CC}">
              <c16:uniqueId val="{00000003-2BBE-4170-838A-31DEDD3C90C7}"/>
            </c:ext>
          </c:extLst>
        </c:ser>
        <c:ser>
          <c:idx val="5"/>
          <c:order val="4"/>
          <c:tx>
            <c:strRef>
              <c:f>Historical_Analysis!$T$31</c:f>
              <c:strCache>
                <c:ptCount val="1"/>
                <c:pt idx="0">
                  <c:v>United States</c:v>
                </c:pt>
              </c:strCache>
            </c:strRef>
          </c:tx>
          <c:spPr>
            <a:ln w="28575" cap="rnd">
              <a:solidFill>
                <a:schemeClr val="accent6"/>
              </a:solidFill>
              <a:round/>
            </a:ln>
            <a:effectLst/>
          </c:spPr>
          <c:marker>
            <c:symbol val="none"/>
          </c:marker>
          <c:cat>
            <c:numRef>
              <c:f>Historical_Analysis!$O$32:$O$56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Historical_Analysis!$T$32:$T$56</c:f>
              <c:numCache>
                <c:formatCode>General</c:formatCode>
                <c:ptCount val="25"/>
                <c:pt idx="0">
                  <c:v>3.992</c:v>
                </c:pt>
                <c:pt idx="1">
                  <c:v>4.7309999999999999</c:v>
                </c:pt>
                <c:pt idx="2">
                  <c:v>5.7830000000000004</c:v>
                </c:pt>
                <c:pt idx="3">
                  <c:v>5.9889999999999999</c:v>
                </c:pt>
                <c:pt idx="4">
                  <c:v>5.5289999999999999</c:v>
                </c:pt>
                <c:pt idx="5">
                  <c:v>5.0839999999999996</c:v>
                </c:pt>
                <c:pt idx="6">
                  <c:v>4.6230000000000002</c:v>
                </c:pt>
                <c:pt idx="7">
                  <c:v>4.6219999999999999</c:v>
                </c:pt>
                <c:pt idx="8">
                  <c:v>5.7839999999999998</c:v>
                </c:pt>
                <c:pt idx="9">
                  <c:v>9.2539999999999996</c:v>
                </c:pt>
                <c:pt idx="10">
                  <c:v>9.6329999999999991</c:v>
                </c:pt>
                <c:pt idx="11">
                  <c:v>8.9489999999999998</c:v>
                </c:pt>
                <c:pt idx="12">
                  <c:v>8.0690000000000008</c:v>
                </c:pt>
                <c:pt idx="13">
                  <c:v>7.375</c:v>
                </c:pt>
                <c:pt idx="14">
                  <c:v>6.1680000000000001</c:v>
                </c:pt>
                <c:pt idx="15">
                  <c:v>5.28</c:v>
                </c:pt>
                <c:pt idx="16">
                  <c:v>4.8689999999999998</c:v>
                </c:pt>
                <c:pt idx="17">
                  <c:v>4.3550000000000004</c:v>
                </c:pt>
                <c:pt idx="18">
                  <c:v>3.8959999999999999</c:v>
                </c:pt>
                <c:pt idx="19">
                  <c:v>3.669</c:v>
                </c:pt>
                <c:pt idx="20">
                  <c:v>8.0549999999999997</c:v>
                </c:pt>
                <c:pt idx="21">
                  <c:v>5.3490000000000002</c:v>
                </c:pt>
                <c:pt idx="22">
                  <c:v>3.65</c:v>
                </c:pt>
                <c:pt idx="23">
                  <c:v>3.6379999999999999</c:v>
                </c:pt>
                <c:pt idx="24">
                  <c:v>4.0220000000000002</c:v>
                </c:pt>
              </c:numCache>
            </c:numRef>
          </c:val>
          <c:smooth val="0"/>
          <c:extLst>
            <c:ext xmlns:c16="http://schemas.microsoft.com/office/drawing/2014/chart" uri="{C3380CC4-5D6E-409C-BE32-E72D297353CC}">
              <c16:uniqueId val="{00000004-2BBE-4170-838A-31DEDD3C90C7}"/>
            </c:ext>
          </c:extLst>
        </c:ser>
        <c:dLbls>
          <c:showLegendKey val="0"/>
          <c:showVal val="0"/>
          <c:showCatName val="0"/>
          <c:showSerName val="0"/>
          <c:showPercent val="0"/>
          <c:showBubbleSize val="0"/>
        </c:dLbls>
        <c:smooth val="0"/>
        <c:axId val="353589296"/>
        <c:axId val="1132888784"/>
      </c:lineChart>
      <c:catAx>
        <c:axId val="3535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88784"/>
        <c:crosses val="autoZero"/>
        <c:auto val="1"/>
        <c:lblAlgn val="ctr"/>
        <c:lblOffset val="100"/>
        <c:noMultiLvlLbl val="0"/>
      </c:catAx>
      <c:valAx>
        <c:axId val="1132888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8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Population by Country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Historical_Analysis!$I$31</c:f>
              <c:strCache>
                <c:ptCount val="1"/>
                <c:pt idx="0">
                  <c:v>India</c:v>
                </c:pt>
              </c:strCache>
            </c:strRef>
          </c:tx>
          <c:spPr>
            <a:ln w="28575" cap="rnd">
              <a:solidFill>
                <a:schemeClr val="accent2"/>
              </a:solidFill>
              <a:round/>
            </a:ln>
            <a:effectLst/>
          </c:spPr>
          <c:marker>
            <c:symbol val="none"/>
          </c:marker>
          <c:cat>
            <c:numRef>
              <c:f>Historical_Analysis!$H$32:$H$56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Historical_Analysis!$I$32:$I$56</c:f>
              <c:numCache>
                <c:formatCode>_(* #,##0_);_(* \(#,##0\);_(* "-"??_);_(@_)</c:formatCode>
                <c:ptCount val="25"/>
                <c:pt idx="0">
                  <c:v>1057922733</c:v>
                </c:pt>
                <c:pt idx="1">
                  <c:v>1077898575</c:v>
                </c:pt>
                <c:pt idx="2">
                  <c:v>1097600380</c:v>
                </c:pt>
                <c:pt idx="3">
                  <c:v>1116803006</c:v>
                </c:pt>
                <c:pt idx="4">
                  <c:v>1135991513</c:v>
                </c:pt>
                <c:pt idx="5">
                  <c:v>1154676322</c:v>
                </c:pt>
                <c:pt idx="6">
                  <c:v>1172878890</c:v>
                </c:pt>
                <c:pt idx="7">
                  <c:v>1190676021</c:v>
                </c:pt>
                <c:pt idx="8">
                  <c:v>1207930964</c:v>
                </c:pt>
                <c:pt idx="9">
                  <c:v>1225524753</c:v>
                </c:pt>
                <c:pt idx="10">
                  <c:v>1243481564</c:v>
                </c:pt>
                <c:pt idx="11">
                  <c:v>1261224954</c:v>
                </c:pt>
                <c:pt idx="12">
                  <c:v>1278674502</c:v>
                </c:pt>
                <c:pt idx="13">
                  <c:v>1295829511</c:v>
                </c:pt>
                <c:pt idx="14">
                  <c:v>1312277191</c:v>
                </c:pt>
                <c:pt idx="15">
                  <c:v>1328024498</c:v>
                </c:pt>
                <c:pt idx="16">
                  <c:v>1343944296</c:v>
                </c:pt>
                <c:pt idx="17">
                  <c:v>1359657400</c:v>
                </c:pt>
                <c:pt idx="18">
                  <c:v>1374659064</c:v>
                </c:pt>
                <c:pt idx="19">
                  <c:v>1389030312</c:v>
                </c:pt>
                <c:pt idx="20">
                  <c:v>1402617695</c:v>
                </c:pt>
                <c:pt idx="21">
                  <c:v>1414203896</c:v>
                </c:pt>
                <c:pt idx="22">
                  <c:v>1425423212</c:v>
                </c:pt>
                <c:pt idx="23">
                  <c:v>1438069596</c:v>
                </c:pt>
                <c:pt idx="24">
                  <c:v>1450935791</c:v>
                </c:pt>
              </c:numCache>
            </c:numRef>
          </c:val>
          <c:smooth val="0"/>
          <c:extLst>
            <c:ext xmlns:c16="http://schemas.microsoft.com/office/drawing/2014/chart" uri="{C3380CC4-5D6E-409C-BE32-E72D297353CC}">
              <c16:uniqueId val="{00000000-19E6-49B6-AB2F-55A27D6F6943}"/>
            </c:ext>
          </c:extLst>
        </c:ser>
        <c:ser>
          <c:idx val="2"/>
          <c:order val="1"/>
          <c:tx>
            <c:strRef>
              <c:f>Historical_Analysis!$J$31</c:f>
              <c:strCache>
                <c:ptCount val="1"/>
                <c:pt idx="0">
                  <c:v>China</c:v>
                </c:pt>
              </c:strCache>
            </c:strRef>
          </c:tx>
          <c:spPr>
            <a:ln w="28575" cap="rnd">
              <a:solidFill>
                <a:schemeClr val="accent3"/>
              </a:solidFill>
              <a:round/>
            </a:ln>
            <a:effectLst/>
          </c:spPr>
          <c:marker>
            <c:symbol val="none"/>
          </c:marker>
          <c:cat>
            <c:numRef>
              <c:f>Historical_Analysis!$H$32:$H$56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Historical_Analysis!$J$32:$J$56</c:f>
              <c:numCache>
                <c:formatCode>_(* #,##0_);_(* \(#,##0\);_(* "-"??_);_(@_)</c:formatCode>
                <c:ptCount val="25"/>
                <c:pt idx="0">
                  <c:v>1262645000</c:v>
                </c:pt>
                <c:pt idx="1">
                  <c:v>1271850000</c:v>
                </c:pt>
                <c:pt idx="2">
                  <c:v>1280400000</c:v>
                </c:pt>
                <c:pt idx="3">
                  <c:v>1288400000</c:v>
                </c:pt>
                <c:pt idx="4">
                  <c:v>1296075000</c:v>
                </c:pt>
                <c:pt idx="5">
                  <c:v>1303720000</c:v>
                </c:pt>
                <c:pt idx="6">
                  <c:v>1311020000</c:v>
                </c:pt>
                <c:pt idx="7">
                  <c:v>1317885000</c:v>
                </c:pt>
                <c:pt idx="8">
                  <c:v>1324655000</c:v>
                </c:pt>
                <c:pt idx="9">
                  <c:v>1331260000</c:v>
                </c:pt>
                <c:pt idx="10">
                  <c:v>1337705000</c:v>
                </c:pt>
                <c:pt idx="11">
                  <c:v>1345035000</c:v>
                </c:pt>
                <c:pt idx="12">
                  <c:v>1354190000</c:v>
                </c:pt>
                <c:pt idx="13">
                  <c:v>1363240000</c:v>
                </c:pt>
                <c:pt idx="14">
                  <c:v>1371860000</c:v>
                </c:pt>
                <c:pt idx="15">
                  <c:v>1379860000</c:v>
                </c:pt>
                <c:pt idx="16">
                  <c:v>1387790000</c:v>
                </c:pt>
                <c:pt idx="17">
                  <c:v>1396215000</c:v>
                </c:pt>
                <c:pt idx="18">
                  <c:v>1402760000</c:v>
                </c:pt>
                <c:pt idx="19">
                  <c:v>1407745000</c:v>
                </c:pt>
                <c:pt idx="20">
                  <c:v>1411100000</c:v>
                </c:pt>
                <c:pt idx="21">
                  <c:v>1412360000</c:v>
                </c:pt>
                <c:pt idx="22">
                  <c:v>1412175000</c:v>
                </c:pt>
                <c:pt idx="23">
                  <c:v>1410710000</c:v>
                </c:pt>
                <c:pt idx="24">
                  <c:v>1408975000</c:v>
                </c:pt>
              </c:numCache>
            </c:numRef>
          </c:val>
          <c:smooth val="0"/>
          <c:extLst>
            <c:ext xmlns:c16="http://schemas.microsoft.com/office/drawing/2014/chart" uri="{C3380CC4-5D6E-409C-BE32-E72D297353CC}">
              <c16:uniqueId val="{00000001-19E6-49B6-AB2F-55A27D6F6943}"/>
            </c:ext>
          </c:extLst>
        </c:ser>
        <c:ser>
          <c:idx val="3"/>
          <c:order val="2"/>
          <c:tx>
            <c:strRef>
              <c:f>Historical_Analysis!$K$31</c:f>
              <c:strCache>
                <c:ptCount val="1"/>
                <c:pt idx="0">
                  <c:v>Germany</c:v>
                </c:pt>
              </c:strCache>
            </c:strRef>
          </c:tx>
          <c:spPr>
            <a:ln w="28575" cap="rnd">
              <a:solidFill>
                <a:schemeClr val="accent4"/>
              </a:solidFill>
              <a:round/>
            </a:ln>
            <a:effectLst/>
          </c:spPr>
          <c:marker>
            <c:symbol val="none"/>
          </c:marker>
          <c:cat>
            <c:numRef>
              <c:f>Historical_Analysis!$H$32:$H$56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Historical_Analysis!$K$32:$K$56</c:f>
              <c:numCache>
                <c:formatCode>_(* #,##0_);_(* \(#,##0\);_(* "-"??_);_(@_)</c:formatCode>
                <c:ptCount val="25"/>
                <c:pt idx="0">
                  <c:v>82211508</c:v>
                </c:pt>
                <c:pt idx="1">
                  <c:v>82349925</c:v>
                </c:pt>
                <c:pt idx="2">
                  <c:v>82488495</c:v>
                </c:pt>
                <c:pt idx="3">
                  <c:v>82534176</c:v>
                </c:pt>
                <c:pt idx="4">
                  <c:v>82516260</c:v>
                </c:pt>
                <c:pt idx="5">
                  <c:v>82469422</c:v>
                </c:pt>
                <c:pt idx="6">
                  <c:v>82376451</c:v>
                </c:pt>
                <c:pt idx="7">
                  <c:v>82266372</c:v>
                </c:pt>
                <c:pt idx="8">
                  <c:v>82110097</c:v>
                </c:pt>
                <c:pt idx="9">
                  <c:v>81902307</c:v>
                </c:pt>
                <c:pt idx="10">
                  <c:v>81776930</c:v>
                </c:pt>
                <c:pt idx="11">
                  <c:v>80274983</c:v>
                </c:pt>
                <c:pt idx="12">
                  <c:v>80425823</c:v>
                </c:pt>
                <c:pt idx="13">
                  <c:v>80645605</c:v>
                </c:pt>
                <c:pt idx="14">
                  <c:v>80982500</c:v>
                </c:pt>
                <c:pt idx="15">
                  <c:v>81686611</c:v>
                </c:pt>
                <c:pt idx="16">
                  <c:v>82348669</c:v>
                </c:pt>
                <c:pt idx="17">
                  <c:v>82657002</c:v>
                </c:pt>
                <c:pt idx="18">
                  <c:v>82905782</c:v>
                </c:pt>
                <c:pt idx="19">
                  <c:v>83092962</c:v>
                </c:pt>
                <c:pt idx="20">
                  <c:v>83160871</c:v>
                </c:pt>
                <c:pt idx="21">
                  <c:v>83196078</c:v>
                </c:pt>
                <c:pt idx="22">
                  <c:v>83177813</c:v>
                </c:pt>
                <c:pt idx="23">
                  <c:v>83287273</c:v>
                </c:pt>
                <c:pt idx="24">
                  <c:v>83516593</c:v>
                </c:pt>
              </c:numCache>
            </c:numRef>
          </c:val>
          <c:smooth val="0"/>
          <c:extLst>
            <c:ext xmlns:c16="http://schemas.microsoft.com/office/drawing/2014/chart" uri="{C3380CC4-5D6E-409C-BE32-E72D297353CC}">
              <c16:uniqueId val="{00000002-19E6-49B6-AB2F-55A27D6F6943}"/>
            </c:ext>
          </c:extLst>
        </c:ser>
        <c:ser>
          <c:idx val="4"/>
          <c:order val="3"/>
          <c:tx>
            <c:strRef>
              <c:f>Historical_Analysis!$L$31</c:f>
              <c:strCache>
                <c:ptCount val="1"/>
                <c:pt idx="0">
                  <c:v>Russian Federation</c:v>
                </c:pt>
              </c:strCache>
            </c:strRef>
          </c:tx>
          <c:spPr>
            <a:ln w="28575" cap="rnd">
              <a:solidFill>
                <a:schemeClr val="accent5"/>
              </a:solidFill>
              <a:round/>
            </a:ln>
            <a:effectLst/>
          </c:spPr>
          <c:marker>
            <c:symbol val="none"/>
          </c:marker>
          <c:cat>
            <c:numRef>
              <c:f>Historical_Analysis!$H$32:$H$56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Historical_Analysis!$L$32:$L$56</c:f>
              <c:numCache>
                <c:formatCode>_(* #,##0_);_(* \(#,##0\);_(* "-"??_);_(@_)</c:formatCode>
                <c:ptCount val="25"/>
                <c:pt idx="0">
                  <c:v>146596869</c:v>
                </c:pt>
                <c:pt idx="1">
                  <c:v>145976482</c:v>
                </c:pt>
                <c:pt idx="2">
                  <c:v>145306497</c:v>
                </c:pt>
                <c:pt idx="3">
                  <c:v>144648618</c:v>
                </c:pt>
                <c:pt idx="4">
                  <c:v>144067316</c:v>
                </c:pt>
                <c:pt idx="5">
                  <c:v>143518814</c:v>
                </c:pt>
                <c:pt idx="6">
                  <c:v>143049637</c:v>
                </c:pt>
                <c:pt idx="7">
                  <c:v>142805114</c:v>
                </c:pt>
                <c:pt idx="8">
                  <c:v>142742366</c:v>
                </c:pt>
                <c:pt idx="9">
                  <c:v>142785348</c:v>
                </c:pt>
                <c:pt idx="10">
                  <c:v>142849468</c:v>
                </c:pt>
                <c:pt idx="11">
                  <c:v>143018195</c:v>
                </c:pt>
                <c:pt idx="12">
                  <c:v>143378447</c:v>
                </c:pt>
                <c:pt idx="13">
                  <c:v>143805638</c:v>
                </c:pt>
                <c:pt idx="14">
                  <c:v>144237223</c:v>
                </c:pt>
                <c:pt idx="15">
                  <c:v>144640716</c:v>
                </c:pt>
                <c:pt idx="16">
                  <c:v>145015460</c:v>
                </c:pt>
                <c:pt idx="17">
                  <c:v>145293260</c:v>
                </c:pt>
                <c:pt idx="18">
                  <c:v>145398106</c:v>
                </c:pt>
                <c:pt idx="19">
                  <c:v>145453291</c:v>
                </c:pt>
                <c:pt idx="20">
                  <c:v>145245148</c:v>
                </c:pt>
                <c:pt idx="21">
                  <c:v>144746762</c:v>
                </c:pt>
                <c:pt idx="22">
                  <c:v>144236933</c:v>
                </c:pt>
                <c:pt idx="23">
                  <c:v>143826130</c:v>
                </c:pt>
                <c:pt idx="24">
                  <c:v>143669648</c:v>
                </c:pt>
              </c:numCache>
            </c:numRef>
          </c:val>
          <c:smooth val="0"/>
          <c:extLst>
            <c:ext xmlns:c16="http://schemas.microsoft.com/office/drawing/2014/chart" uri="{C3380CC4-5D6E-409C-BE32-E72D297353CC}">
              <c16:uniqueId val="{00000003-19E6-49B6-AB2F-55A27D6F6943}"/>
            </c:ext>
          </c:extLst>
        </c:ser>
        <c:ser>
          <c:idx val="5"/>
          <c:order val="4"/>
          <c:tx>
            <c:strRef>
              <c:f>Historical_Analysis!$M$31</c:f>
              <c:strCache>
                <c:ptCount val="1"/>
                <c:pt idx="0">
                  <c:v>United States</c:v>
                </c:pt>
              </c:strCache>
            </c:strRef>
          </c:tx>
          <c:spPr>
            <a:ln w="28575" cap="rnd">
              <a:solidFill>
                <a:schemeClr val="accent6"/>
              </a:solidFill>
              <a:round/>
            </a:ln>
            <a:effectLst/>
          </c:spPr>
          <c:marker>
            <c:symbol val="none"/>
          </c:marker>
          <c:cat>
            <c:numRef>
              <c:f>Historical_Analysis!$H$32:$H$56</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Historical_Analysis!$M$32:$M$56</c:f>
              <c:numCache>
                <c:formatCode>_(* #,##0_);_(* \(#,##0\);_(* "-"??_);_(@_)</c:formatCode>
                <c:ptCount val="25"/>
                <c:pt idx="0">
                  <c:v>282162411</c:v>
                </c:pt>
                <c:pt idx="1">
                  <c:v>284968955</c:v>
                </c:pt>
                <c:pt idx="2">
                  <c:v>287625193</c:v>
                </c:pt>
                <c:pt idx="3">
                  <c:v>290107933</c:v>
                </c:pt>
                <c:pt idx="4">
                  <c:v>292805298</c:v>
                </c:pt>
                <c:pt idx="5">
                  <c:v>295516599</c:v>
                </c:pt>
                <c:pt idx="6">
                  <c:v>298379912</c:v>
                </c:pt>
                <c:pt idx="7">
                  <c:v>301231207</c:v>
                </c:pt>
                <c:pt idx="8">
                  <c:v>304093966</c:v>
                </c:pt>
                <c:pt idx="9">
                  <c:v>306771529</c:v>
                </c:pt>
                <c:pt idx="10">
                  <c:v>309378227</c:v>
                </c:pt>
                <c:pt idx="11">
                  <c:v>311839461</c:v>
                </c:pt>
                <c:pt idx="12">
                  <c:v>314339099</c:v>
                </c:pt>
                <c:pt idx="13">
                  <c:v>316726282</c:v>
                </c:pt>
                <c:pt idx="14">
                  <c:v>319257560</c:v>
                </c:pt>
                <c:pt idx="15">
                  <c:v>321815121</c:v>
                </c:pt>
                <c:pt idx="16">
                  <c:v>324353340</c:v>
                </c:pt>
                <c:pt idx="17">
                  <c:v>326608609</c:v>
                </c:pt>
                <c:pt idx="18">
                  <c:v>328529577</c:v>
                </c:pt>
                <c:pt idx="19">
                  <c:v>330226227</c:v>
                </c:pt>
                <c:pt idx="20">
                  <c:v>331578104</c:v>
                </c:pt>
                <c:pt idx="21">
                  <c:v>332100166</c:v>
                </c:pt>
                <c:pt idx="22">
                  <c:v>333996304</c:v>
                </c:pt>
                <c:pt idx="23">
                  <c:v>336755052</c:v>
                </c:pt>
                <c:pt idx="24">
                  <c:v>340003797</c:v>
                </c:pt>
              </c:numCache>
            </c:numRef>
          </c:val>
          <c:smooth val="0"/>
          <c:extLst>
            <c:ext xmlns:c16="http://schemas.microsoft.com/office/drawing/2014/chart" uri="{C3380CC4-5D6E-409C-BE32-E72D297353CC}">
              <c16:uniqueId val="{00000004-19E6-49B6-AB2F-55A27D6F6943}"/>
            </c:ext>
          </c:extLst>
        </c:ser>
        <c:dLbls>
          <c:showLegendKey val="0"/>
          <c:showVal val="0"/>
          <c:showCatName val="0"/>
          <c:showSerName val="0"/>
          <c:showPercent val="0"/>
          <c:showBubbleSize val="0"/>
        </c:dLbls>
        <c:smooth val="0"/>
        <c:axId val="1521680464"/>
        <c:axId val="1443280720"/>
      </c:lineChart>
      <c:catAx>
        <c:axId val="152168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280720"/>
        <c:crosses val="autoZero"/>
        <c:auto val="1"/>
        <c:lblAlgn val="ctr"/>
        <c:lblOffset val="100"/>
        <c:noMultiLvlLbl val="0"/>
      </c:catAx>
      <c:valAx>
        <c:axId val="14432807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8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548640</xdr:colOff>
      <xdr:row>1</xdr:row>
      <xdr:rowOff>182880</xdr:rowOff>
    </xdr:from>
    <xdr:to>
      <xdr:col>17</xdr:col>
      <xdr:colOff>0</xdr:colOff>
      <xdr:row>21</xdr:row>
      <xdr:rowOff>47897</xdr:rowOff>
    </xdr:to>
    <xdr:graphicFrame macro="">
      <xdr:nvGraphicFramePr>
        <xdr:cNvPr id="2" name="Chart 1">
          <a:extLst>
            <a:ext uri="{FF2B5EF4-FFF2-40B4-BE49-F238E27FC236}">
              <a16:creationId xmlns:a16="http://schemas.microsoft.com/office/drawing/2014/main" id="{7613DCCB-EE73-431C-B53E-09653EB90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388620</xdr:colOff>
      <xdr:row>2</xdr:row>
      <xdr:rowOff>0</xdr:rowOff>
    </xdr:from>
    <xdr:to>
      <xdr:col>8</xdr:col>
      <xdr:colOff>449580</xdr:colOff>
      <xdr:row>21</xdr:row>
      <xdr:rowOff>50074</xdr:rowOff>
    </xdr:to>
    <xdr:graphicFrame macro="">
      <xdr:nvGraphicFramePr>
        <xdr:cNvPr id="3" name="Chart 2">
          <a:extLst>
            <a:ext uri="{FF2B5EF4-FFF2-40B4-BE49-F238E27FC236}">
              <a16:creationId xmlns:a16="http://schemas.microsoft.com/office/drawing/2014/main" id="{05E63F8B-606E-4E2F-9644-293D29181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388620</xdr:colOff>
      <xdr:row>21</xdr:row>
      <xdr:rowOff>134983</xdr:rowOff>
    </xdr:from>
    <xdr:to>
      <xdr:col>8</xdr:col>
      <xdr:colOff>449580</xdr:colOff>
      <xdr:row>41</xdr:row>
      <xdr:rowOff>0</xdr:rowOff>
    </xdr:to>
    <xdr:graphicFrame macro="">
      <xdr:nvGraphicFramePr>
        <xdr:cNvPr id="4" name="Chart 3">
          <a:extLst>
            <a:ext uri="{FF2B5EF4-FFF2-40B4-BE49-F238E27FC236}">
              <a16:creationId xmlns:a16="http://schemas.microsoft.com/office/drawing/2014/main" id="{61180F2D-DAA1-4F14-B10F-B29A3C36E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548640</xdr:colOff>
      <xdr:row>21</xdr:row>
      <xdr:rowOff>134983</xdr:rowOff>
    </xdr:from>
    <xdr:to>
      <xdr:col>17</xdr:col>
      <xdr:colOff>0</xdr:colOff>
      <xdr:row>41</xdr:row>
      <xdr:rowOff>0</xdr:rowOff>
    </xdr:to>
    <xdr:graphicFrame macro="">
      <xdr:nvGraphicFramePr>
        <xdr:cNvPr id="5" name="Chart 4">
          <a:extLst>
            <a:ext uri="{FF2B5EF4-FFF2-40B4-BE49-F238E27FC236}">
              <a16:creationId xmlns:a16="http://schemas.microsoft.com/office/drawing/2014/main" id="{DF376FF6-2863-4C54-BAAA-45AA0609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il Alam" refreshedDate="46305.490305208332" createdVersion="8" refreshedVersion="8" minRefreshableVersion="3" recordCount="375" xr:uid="{E5521B9D-9EB4-4A0E-8D02-C9DDC3FB16AB}">
  <cacheSource type="worksheet">
    <worksheetSource name="GlobalDevelopmentData"/>
  </cacheSource>
  <cacheFields count="7">
    <cacheField name="Country Name" numFmtId="0">
      <sharedItems count="15">
        <s v="Brazil"/>
        <s v="China"/>
        <s v="France"/>
        <s v="Germany"/>
        <s v="India"/>
        <s v="Indonesia"/>
        <s v="Ireland"/>
        <s v="Italy"/>
        <s v="Japan"/>
        <s v="Netherlands"/>
        <s v="Russian Federation"/>
        <s v="South Africa"/>
        <s v="Spain"/>
        <s v="United Kingdom"/>
        <s v="United States"/>
      </sharedItems>
    </cacheField>
    <cacheField name="Country Code" numFmtId="0">
      <sharedItems/>
    </cacheField>
    <cacheField name="Year" numFmtId="0">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GDP per capita (current US$)" numFmtId="0">
      <sharedItems containsSemiMixedTypes="0" containsString="0" containsNumber="1" minValue="442.75021893726324" maxValue="112894.95324080539"/>
    </cacheField>
    <cacheField name="Inflation, consumer prices (annual %)" numFmtId="0">
      <sharedItems containsSemiMixedTypes="0" containsString="0" containsNumber="1" minValue="-4.4475468687674597" maxValue="21.477007211715801"/>
    </cacheField>
    <cacheField name="Unemployment, total (% of total labor force) (modeled ILO estimate)" numFmtId="0">
      <sharedItems containsSemiMixedTypes="0" containsString="0" containsNumber="1" minValue="2.1190000000000002" maxValue="34.006999999999998"/>
    </cacheField>
    <cacheField name="Population, total" numFmtId="0">
      <sharedItems containsSemiMixedTypes="0" containsString="0" containsNumber="1" containsInteger="1" minValue="3805174" maxValue="14509357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s v="BRA"/>
    <x v="0"/>
    <n v="3766.5481146603156"/>
    <n v="7.0441410594726497"/>
    <n v="10.888999999999999"/>
    <n v="174018282"/>
  </r>
  <r>
    <x v="0"/>
    <s v="BRA"/>
    <x v="1"/>
    <n v="3176.2893574752361"/>
    <n v="6.8403590248752302"/>
    <n v="10.648999999999999"/>
    <n v="176301203"/>
  </r>
  <r>
    <x v="0"/>
    <s v="BRA"/>
    <x v="2"/>
    <n v="2855.9401888576867"/>
    <n v="8.4501643770833095"/>
    <n v="10.641"/>
    <n v="178503484"/>
  </r>
  <r>
    <x v="0"/>
    <s v="BRA"/>
    <x v="3"/>
    <n v="3090.6070097454958"/>
    <n v="14.714919722814701"/>
    <n v="11.167999999999999"/>
    <n v="180622688"/>
  </r>
  <r>
    <x v="0"/>
    <s v="BRA"/>
    <x v="4"/>
    <n v="3663.8231880639996"/>
    <n v="6.5971850998596304"/>
    <n v="10.071999999999999"/>
    <n v="182675143"/>
  </r>
  <r>
    <x v="0"/>
    <s v="BRA"/>
    <x v="5"/>
    <n v="4827.7817307471414"/>
    <n v="6.86953720898964"/>
    <n v="10.551"/>
    <n v="184688101"/>
  </r>
  <r>
    <x v="0"/>
    <s v="BRA"/>
    <x v="6"/>
    <n v="5934.144709249681"/>
    <n v="4.1835681289690898"/>
    <n v="9.6920000000000002"/>
    <n v="186653106"/>
  </r>
  <r>
    <x v="0"/>
    <s v="BRA"/>
    <x v="7"/>
    <n v="7409.6913067347305"/>
    <n v="3.6412729910265198"/>
    <n v="9.2799999999999994"/>
    <n v="188552320"/>
  </r>
  <r>
    <x v="0"/>
    <s v="BRA"/>
    <x v="8"/>
    <n v="8908.3317653864833"/>
    <n v="5.6785939028416799"/>
    <n v="8.2680000000000007"/>
    <n v="190367302"/>
  </r>
  <r>
    <x v="0"/>
    <s v="BRA"/>
    <x v="9"/>
    <n v="8678.6592244675994"/>
    <n v="4.88803479876798"/>
    <n v="9.4190000000000005"/>
    <n v="192079951"/>
  </r>
  <r>
    <x v="0"/>
    <s v="BRA"/>
    <x v="10"/>
    <n v="11403.282127874663"/>
    <n v="5.0387269010807403"/>
    <n v="8.42"/>
    <n v="193701929"/>
  </r>
  <r>
    <x v="0"/>
    <s v="BRA"/>
    <x v="11"/>
    <n v="13396.624356298567"/>
    <n v="6.6364496221309004"/>
    <n v="7.5780000000000003"/>
    <n v="195284734"/>
  </r>
  <r>
    <x v="0"/>
    <s v="BRA"/>
    <x v="12"/>
    <n v="12521.721351996648"/>
    <n v="5.4034991403699699"/>
    <n v="7.2510000000000003"/>
    <n v="196876111"/>
  </r>
  <r>
    <x v="0"/>
    <s v="BRA"/>
    <x v="13"/>
    <n v="12458.891213881299"/>
    <n v="6.2043106664009997"/>
    <n v="7.0709999999999997"/>
    <n v="198478299"/>
  </r>
  <r>
    <x v="0"/>
    <s v="BRA"/>
    <x v="14"/>
    <n v="12274.993968936304"/>
    <n v="6.3290401551613797"/>
    <n v="6.7549999999999999"/>
    <n v="200085127"/>
  </r>
  <r>
    <x v="0"/>
    <s v="BRA"/>
    <x v="15"/>
    <n v="8936.1966171211279"/>
    <n v="9.0299010241613598"/>
    <n v="8.5380000000000003"/>
    <n v="201675532"/>
  </r>
  <r>
    <x v="0"/>
    <s v="BRA"/>
    <x v="16"/>
    <n v="8836.2865273565749"/>
    <n v="8.7391435232939294"/>
    <n v="11.58"/>
    <n v="203218114"/>
  </r>
  <r>
    <x v="0"/>
    <s v="BRA"/>
    <x v="17"/>
    <n v="10080.509281930525"/>
    <n v="3.4463733503266898"/>
    <n v="12.792"/>
    <n v="204703445"/>
  </r>
  <r>
    <x v="0"/>
    <s v="BRA"/>
    <x v="18"/>
    <n v="9300.6616492321864"/>
    <n v="3.6648502837672798"/>
    <n v="12.329000000000001"/>
    <n v="206107261"/>
  </r>
  <r>
    <x v="0"/>
    <s v="BRA"/>
    <x v="19"/>
    <n v="9029.8332668107323"/>
    <n v="3.7329762121689298"/>
    <n v="11.936"/>
    <n v="207455459"/>
  </r>
  <r>
    <x v="0"/>
    <s v="BRA"/>
    <x v="20"/>
    <n v="7074.1937833764405"/>
    <n v="3.2117680380337599"/>
    <n v="13.696999999999999"/>
    <n v="208660842"/>
  </r>
  <r>
    <x v="0"/>
    <s v="BRA"/>
    <x v="21"/>
    <n v="7972.5366498645981"/>
    <n v="8.3016597558567309"/>
    <n v="13.157999999999999"/>
    <n v="209550294"/>
  </r>
  <r>
    <x v="0"/>
    <s v="BRA"/>
    <x v="22"/>
    <n v="9281.33334441234"/>
    <n v="9.2801060895687204"/>
    <n v="9.2309999999999999"/>
    <n v="210306415"/>
  </r>
  <r>
    <x v="0"/>
    <s v="BRA"/>
    <x v="23"/>
    <n v="10377.589279255684"/>
    <n v="4.5935628228320304"/>
    <n v="7.9470000000000001"/>
    <n v="211140729"/>
  </r>
  <r>
    <x v="0"/>
    <s v="BRA"/>
    <x v="24"/>
    <n v="10310.548697369348"/>
    <n v="4.3674640765233601"/>
    <n v="6.8010000000000002"/>
    <n v="211998573"/>
  </r>
  <r>
    <x v="1"/>
    <s v="CHN"/>
    <x v="0"/>
    <n v="969.19951369628666"/>
    <n v="0.34781122686458599"/>
    <n v="3.26"/>
    <n v="1262645000"/>
  </r>
  <r>
    <x v="1"/>
    <s v="CHN"/>
    <x v="1"/>
    <n v="1065.4059757451932"/>
    <n v="0.71912560912011303"/>
    <n v="3.8"/>
    <n v="1271850000"/>
  </r>
  <r>
    <x v="1"/>
    <s v="CHN"/>
    <x v="2"/>
    <n v="1163.5595767342556"/>
    <n v="-0.73197090235024298"/>
    <n v="4.24"/>
    <n v="1280400000"/>
  </r>
  <r>
    <x v="1"/>
    <s v="CHN"/>
    <x v="3"/>
    <n v="1306.9724540855702"/>
    <n v="1.1276034872963701"/>
    <n v="4.58"/>
    <n v="1288400000"/>
  </r>
  <r>
    <x v="1"/>
    <s v="CHN"/>
    <x v="4"/>
    <n v="1530.9272621572329"/>
    <n v="3.82463743108159"/>
    <n v="4.49"/>
    <n v="1296075000"/>
  </r>
  <r>
    <x v="1"/>
    <s v="CHN"/>
    <x v="5"/>
    <n v="1777.644968284641"/>
    <n v="1.7764140766756999"/>
    <n v="4.5199999999999996"/>
    <n v="1303720000"/>
  </r>
  <r>
    <x v="1"/>
    <s v="CHN"/>
    <x v="6"/>
    <n v="2129.2569699961318"/>
    <n v="1.6494309945585901"/>
    <n v="4.43"/>
    <n v="1311020000"/>
  </r>
  <r>
    <x v="1"/>
    <s v="CHN"/>
    <x v="7"/>
    <n v="2734.7270987769271"/>
    <n v="4.8167676737883403"/>
    <n v="4.3499999999999996"/>
    <n v="1317885000"/>
  </r>
  <r>
    <x v="1"/>
    <s v="CHN"/>
    <x v="8"/>
    <n v="3523.4430206521301"/>
    <n v="5.9252513704109102"/>
    <n v="4.59"/>
    <n v="1324655000"/>
  </r>
  <r>
    <x v="1"/>
    <s v="CHN"/>
    <x v="9"/>
    <n v="3898.2445915881062"/>
    <n v="-0.72816525093289797"/>
    <n v="4.72"/>
    <n v="1331260000"/>
  </r>
  <r>
    <x v="1"/>
    <s v="CHN"/>
    <x v="10"/>
    <n v="4629.2455171007732"/>
    <n v="3.1753247526919899"/>
    <n v="4.53"/>
    <n v="1337705000"/>
  </r>
  <r>
    <x v="1"/>
    <s v="CHN"/>
    <x v="11"/>
    <n v="5703.7602797334557"/>
    <n v="5.5538989225749296"/>
    <n v="4.55"/>
    <n v="1345035000"/>
  </r>
  <r>
    <x v="1"/>
    <s v="CHN"/>
    <x v="12"/>
    <n v="6405.0574241349032"/>
    <n v="2.6195243264553998"/>
    <n v="4.58"/>
    <n v="1354190000"/>
  </r>
  <r>
    <x v="1"/>
    <s v="CHN"/>
    <x v="13"/>
    <n v="7147.0351862234411"/>
    <n v="2.62105001748114"/>
    <n v="4.5999999999999996"/>
    <n v="1363240000"/>
  </r>
  <r>
    <x v="1"/>
    <s v="CHN"/>
    <x v="14"/>
    <n v="7781.0659748497383"/>
    <n v="1.9216416278852"/>
    <n v="4.63"/>
    <n v="1371860000"/>
  </r>
  <r>
    <x v="1"/>
    <s v="CHN"/>
    <x v="15"/>
    <n v="8175.3328507739288"/>
    <n v="1.4370238093565399"/>
    <n v="4.6500000000000004"/>
    <n v="1379860000"/>
  </r>
  <r>
    <x v="1"/>
    <s v="CHN"/>
    <x v="16"/>
    <n v="8254.8685932035678"/>
    <n v="2.00000182191943"/>
    <n v="4.5599999999999996"/>
    <n v="1387790000"/>
  </r>
  <r>
    <x v="1"/>
    <s v="CHN"/>
    <x v="17"/>
    <n v="8979.6765270985634"/>
    <n v="1.59313600071435"/>
    <n v="4.47"/>
    <n v="1396215000"/>
  </r>
  <r>
    <x v="1"/>
    <s v="CHN"/>
    <x v="18"/>
    <n v="10085.663814881918"/>
    <n v="2.0747903996557602"/>
    <n v="4.3099999999999996"/>
    <n v="1402760000"/>
  </r>
  <r>
    <x v="1"/>
    <s v="CHN"/>
    <x v="19"/>
    <n v="10342.90095243346"/>
    <n v="2.89923416358226"/>
    <n v="4.5599999999999996"/>
    <n v="1407745000"/>
  </r>
  <r>
    <x v="1"/>
    <s v="CHN"/>
    <x v="20"/>
    <n v="10627.463798961868"/>
    <n v="2.4194218945778201"/>
    <n v="5"/>
    <n v="1411100000"/>
  </r>
  <r>
    <x v="1"/>
    <s v="CHN"/>
    <x v="21"/>
    <n v="12887.435724294062"/>
    <n v="0.98101513554488096"/>
    <n v="4.55"/>
    <n v="1412360000"/>
  </r>
  <r>
    <x v="1"/>
    <s v="CHN"/>
    <x v="22"/>
    <n v="12970.605641432652"/>
    <n v="1.9735755573905001"/>
    <n v="4.9800000000000004"/>
    <n v="1412175000"/>
  </r>
  <r>
    <x v="1"/>
    <s v="CHN"/>
    <x v="23"/>
    <n v="12951.178239704273"/>
    <n v="0.23483682889304999"/>
    <n v="4.67"/>
    <n v="1410710000"/>
  </r>
  <r>
    <x v="1"/>
    <s v="CHN"/>
    <x v="24"/>
    <n v="13293.116226936598"/>
    <n v="0.21812893843917699"/>
    <n v="4.59"/>
    <n v="1408975000"/>
  </r>
  <r>
    <x v="2"/>
    <s v="FRA"/>
    <x v="0"/>
    <n v="22340.593951621708"/>
    <n v="1.67061991153283"/>
    <n v="10.218"/>
    <n v="60918661"/>
  </r>
  <r>
    <x v="2"/>
    <s v="FRA"/>
    <x v="1"/>
    <n v="22331.794834303619"/>
    <n v="1.63812454286363"/>
    <n v="8.61"/>
    <n v="61364377"/>
  </r>
  <r>
    <x v="2"/>
    <s v="FRA"/>
    <x v="2"/>
    <n v="24144.572701952864"/>
    <n v="1.92190776331623"/>
    <n v="8.702"/>
    <n v="61812142"/>
  </r>
  <r>
    <x v="2"/>
    <s v="FRA"/>
    <x v="3"/>
    <n v="29479.522210117506"/>
    <n v="2.0987023105203"/>
    <n v="8.3059999999999992"/>
    <n v="62249855"/>
  </r>
  <r>
    <x v="2"/>
    <s v="FRA"/>
    <x v="4"/>
    <n v="33644.928222036418"/>
    <n v="2.1461786097531901"/>
    <n v="8.9139999999999997"/>
    <n v="62707588"/>
  </r>
  <r>
    <x v="2"/>
    <s v="FRA"/>
    <x v="5"/>
    <n v="34696.37183169715"/>
    <n v="1.74156647601258"/>
    <n v="8.8819999999999997"/>
    <n v="63180854"/>
  </r>
  <r>
    <x v="2"/>
    <s v="FRA"/>
    <x v="6"/>
    <n v="36431.565890655525"/>
    <n v="1.67618916500309"/>
    <n v="8.8320000000000007"/>
    <n v="63622342"/>
  </r>
  <r>
    <x v="2"/>
    <s v="FRA"/>
    <x v="7"/>
    <n v="41486.190782878672"/>
    <n v="1.48832695801316"/>
    <n v="8.0079999999999991"/>
    <n v="64016890"/>
  </r>
  <r>
    <x v="2"/>
    <s v="FRA"/>
    <x v="8"/>
    <n v="45464.818138515802"/>
    <n v="2.8129238842809898"/>
    <n v="7.3860000000000001"/>
    <n v="64375116"/>
  </r>
  <r>
    <x v="2"/>
    <s v="FRA"/>
    <x v="9"/>
    <n v="41728.088416413208"/>
    <n v="8.7594082533068801E-2"/>
    <n v="9.1219999999999999"/>
    <n v="64706436"/>
  </r>
  <r>
    <x v="2"/>
    <s v="FRA"/>
    <x v="10"/>
    <n v="40694.821169702453"/>
    <n v="1.5331755858805001"/>
    <n v="9.2789999999999999"/>
    <n v="65026211"/>
  </r>
  <r>
    <x v="2"/>
    <s v="FRA"/>
    <x v="11"/>
    <n v="43929.784087381166"/>
    <n v="2.1080747456689002"/>
    <n v="9.2279999999999998"/>
    <n v="65340830"/>
  </r>
  <r>
    <x v="2"/>
    <s v="FRA"/>
    <x v="12"/>
    <n v="40863.581441233335"/>
    <n v="1.95512386272455"/>
    <n v="9.8409999999999993"/>
    <n v="65657659"/>
  </r>
  <r>
    <x v="2"/>
    <s v="FRA"/>
    <x v="13"/>
    <n v="42669.179511189272"/>
    <n v="0.86272986537727303"/>
    <n v="9.9130000000000003"/>
    <n v="65997932"/>
  </r>
  <r>
    <x v="2"/>
    <s v="FRA"/>
    <x v="14"/>
    <n v="43148.045928841602"/>
    <n v="0.50773767900035005"/>
    <n v="10.273"/>
    <n v="66312067"/>
  </r>
  <r>
    <x v="2"/>
    <s v="FRA"/>
    <x v="15"/>
    <n v="36702.432373337935"/>
    <n v="4.0333151834164402E-2"/>
    <n v="10.353999999999999"/>
    <n v="66548272"/>
  </r>
  <r>
    <x v="2"/>
    <s v="FRA"/>
    <x v="16"/>
    <n v="37024.215713366888"/>
    <n v="0.18444977523328801"/>
    <n v="10.057"/>
    <n v="66724104"/>
  </r>
  <r>
    <x v="2"/>
    <s v="FRA"/>
    <x v="17"/>
    <n v="38687.162640716364"/>
    <n v="1.0292061128605201"/>
    <n v="9.4090000000000007"/>
    <n v="66918020"/>
  </r>
  <r>
    <x v="2"/>
    <s v="FRA"/>
    <x v="18"/>
    <n v="41418.176648484419"/>
    <n v="1.85222067317272"/>
    <n v="9.0180000000000007"/>
    <n v="67158348"/>
  </r>
  <r>
    <x v="2"/>
    <s v="FRA"/>
    <x v="19"/>
    <n v="40408.284857475053"/>
    <n v="1.1067657411028999"/>
    <n v="8.4149999999999991"/>
    <n v="67382061"/>
  </r>
  <r>
    <x v="2"/>
    <s v="FRA"/>
    <x v="20"/>
    <n v="39169.860600070715"/>
    <n v="0.47770084709702199"/>
    <n v="8.0090000000000003"/>
    <n v="67601110"/>
  </r>
  <r>
    <x v="2"/>
    <s v="FRA"/>
    <x v="21"/>
    <n v="43725.099952124503"/>
    <n v="1.64090620368408"/>
    <n v="7.8710000000000004"/>
    <n v="67842811"/>
  </r>
  <r>
    <x v="2"/>
    <s v="FRA"/>
    <x v="22"/>
    <n v="40988.639640657944"/>
    <n v="5.2229407921523103"/>
    <n v="7.3029999999999999"/>
    <n v="68184457"/>
  </r>
  <r>
    <x v="2"/>
    <s v="FRA"/>
    <x v="23"/>
    <n v="44700.138417754366"/>
    <n v="4.8800021596911902"/>
    <n v="7.335"/>
    <n v="68372286"/>
  </r>
  <r>
    <x v="2"/>
    <s v="FRA"/>
    <x v="24"/>
    <n v="46103.084085588387"/>
    <n v="1.99742599742599"/>
    <n v="7.4"/>
    <n v="68551653"/>
  </r>
  <r>
    <x v="3"/>
    <s v="DEU"/>
    <x v="0"/>
    <n v="23925.855990199114"/>
    <n v="1.44026838719741"/>
    <n v="7.9169999999999998"/>
    <n v="82211508"/>
  </r>
  <r>
    <x v="3"/>
    <s v="DEU"/>
    <x v="1"/>
    <n v="23878.364147165095"/>
    <n v="1.9838573133447099"/>
    <n v="7.7729999999999997"/>
    <n v="82349925"/>
  </r>
  <r>
    <x v="3"/>
    <s v="DEU"/>
    <x v="2"/>
    <n v="25486.594200874752"/>
    <n v="1.42080615551526"/>
    <n v="8.4819999999999993"/>
    <n v="82488495"/>
  </r>
  <r>
    <x v="3"/>
    <s v="DEU"/>
    <x v="3"/>
    <n v="30711.102251133085"/>
    <n v="1.03422218628562"/>
    <n v="9.7789999999999999"/>
    <n v="82534176"/>
  </r>
  <r>
    <x v="3"/>
    <s v="DEU"/>
    <x v="4"/>
    <n v="34566.73591437353"/>
    <n v="1.66573696655991"/>
    <n v="10.727"/>
    <n v="82516260"/>
  </r>
  <r>
    <x v="3"/>
    <s v="DEU"/>
    <x v="5"/>
    <n v="35084.436354626887"/>
    <n v="1.54691114751328"/>
    <n v="11.193"/>
    <n v="82469422"/>
  </r>
  <r>
    <x v="3"/>
    <s v="DEU"/>
    <x v="6"/>
    <n v="36980.334994895376"/>
    <n v="1.5774264284056301"/>
    <n v="10.276999999999999"/>
    <n v="82376451"/>
  </r>
  <r>
    <x v="3"/>
    <s v="DEU"/>
    <x v="7"/>
    <n v="42350.921721148872"/>
    <n v="2.2983440070094998"/>
    <n v="8.7319999999999993"/>
    <n v="82266372"/>
  </r>
  <r>
    <x v="3"/>
    <s v="DEU"/>
    <x v="8"/>
    <n v="46379.164795347875"/>
    <n v="2.6283798163721901"/>
    <n v="7.508"/>
    <n v="82110097"/>
  </r>
  <r>
    <x v="3"/>
    <s v="DEU"/>
    <x v="9"/>
    <n v="42471.88686252258"/>
    <n v="0.31273900736844601"/>
    <n v="7.88"/>
    <n v="81902307"/>
  </r>
  <r>
    <x v="3"/>
    <s v="DEU"/>
    <x v="10"/>
    <n v="42396.966597629347"/>
    <n v="1.1038103778926001"/>
    <n v="7.0430000000000001"/>
    <n v="81776930"/>
  </r>
  <r>
    <x v="3"/>
    <s v="DEU"/>
    <x v="11"/>
    <n v="47630.976188357236"/>
    <n v="2.0751728373587399"/>
    <n v="5.9669999999999996"/>
    <n v="80274983"/>
  </r>
  <r>
    <x v="3"/>
    <s v="DEU"/>
    <x v="12"/>
    <n v="44718.01592140687"/>
    <n v="2.0084888478295602"/>
    <n v="5.3719999999999999"/>
    <n v="80425823"/>
  </r>
  <r>
    <x v="3"/>
    <s v="DEU"/>
    <x v="13"/>
    <n v="47206.83535142419"/>
    <n v="1.5047233025187601"/>
    <n v="5.3159999999999998"/>
    <n v="80645605"/>
  </r>
  <r>
    <x v="3"/>
    <s v="DEU"/>
    <x v="14"/>
    <n v="48959.599120313287"/>
    <n v="0.90679400043424496"/>
    <n v="4.9790000000000001"/>
    <n v="80982500"/>
  </r>
  <r>
    <x v="3"/>
    <s v="DEU"/>
    <x v="15"/>
    <n v="41929.754911072167"/>
    <n v="0.51442613712545604"/>
    <n v="4.6120000000000001"/>
    <n v="81686611"/>
  </r>
  <r>
    <x v="3"/>
    <s v="DEU"/>
    <x v="16"/>
    <n v="42948.938193269365"/>
    <n v="0.49174700844517399"/>
    <n v="4.1040000000000001"/>
    <n v="82348669"/>
  </r>
  <r>
    <x v="3"/>
    <s v="DEU"/>
    <x v="17"/>
    <n v="45553.934149533859"/>
    <n v="1.50949485109628"/>
    <n v="3.7810000000000001"/>
    <n v="82657002"/>
  </r>
  <r>
    <x v="3"/>
    <s v="DEU"/>
    <x v="18"/>
    <n v="48916.16866121543"/>
    <n v="1.73216879766941"/>
    <n v="3.3839999999999999"/>
    <n v="82905782"/>
  </r>
  <r>
    <x v="3"/>
    <s v="DEU"/>
    <x v="19"/>
    <n v="47656.199739747026"/>
    <n v="1.4456597688825299"/>
    <n v="3.1629999999999998"/>
    <n v="83092962"/>
  </r>
  <r>
    <x v="3"/>
    <s v="DEU"/>
    <x v="20"/>
    <n v="47394.873450446918"/>
    <n v="0.14487792581398101"/>
    <n v="3.8809999999999998"/>
    <n v="83160871"/>
  </r>
  <r>
    <x v="3"/>
    <s v="DEU"/>
    <x v="21"/>
    <n v="52349.245999442217"/>
    <n v="3.0666666666667299"/>
    <n v="3.5939999999999999"/>
    <n v="83196078"/>
  </r>
  <r>
    <x v="3"/>
    <s v="DEU"/>
    <x v="22"/>
    <n v="50506.517963854327"/>
    <n v="6.8725743855109602"/>
    <n v="3.137"/>
    <n v="83177813"/>
  </r>
  <r>
    <x v="3"/>
    <s v="DEU"/>
    <x v="23"/>
    <n v="54776.766823549093"/>
    <n v="5.9464366772582302"/>
    <n v="3.0710000000000002"/>
    <n v="83287273"/>
  </r>
  <r>
    <x v="3"/>
    <s v="DEU"/>
    <x v="24"/>
    <n v="56103.732318255446"/>
    <n v="2.2564981433876001"/>
    <n v="3.4"/>
    <n v="83516593"/>
  </r>
  <r>
    <x v="4"/>
    <s v="IND"/>
    <x v="0"/>
    <n v="442.75021893726324"/>
    <n v="4.0094359104519004"/>
    <n v="7.5890000000000004"/>
    <n v="1057922733"/>
  </r>
  <r>
    <x v="4"/>
    <s v="IND"/>
    <x v="1"/>
    <n v="450.35790051412818"/>
    <n v="3.7792931223563699"/>
    <n v="7.6109999999999998"/>
    <n v="1077898575"/>
  </r>
  <r>
    <x v="4"/>
    <s v="IND"/>
    <x v="2"/>
    <n v="469.14992897392727"/>
    <n v="4.29715203929561"/>
    <n v="7.681"/>
    <n v="1097600380"/>
  </r>
  <r>
    <x v="4"/>
    <s v="IND"/>
    <x v="3"/>
    <n v="544.14313354500223"/>
    <n v="3.8058589952885198"/>
    <n v="7.633"/>
    <n v="1116803006"/>
  </r>
  <r>
    <x v="4"/>
    <s v="IND"/>
    <x v="4"/>
    <n v="624.25882651006611"/>
    <n v="3.7672517347751699"/>
    <n v="7.5979999999999999"/>
    <n v="1135991513"/>
  </r>
  <r>
    <x v="4"/>
    <s v="IND"/>
    <x v="5"/>
    <n v="710.48808040894892"/>
    <n v="4.2463436203192302"/>
    <n v="7.5510000000000002"/>
    <n v="1154676322"/>
  </r>
  <r>
    <x v="4"/>
    <s v="IND"/>
    <x v="6"/>
    <n v="801.66835365902227"/>
    <n v="5.7965233756163297"/>
    <n v="7.5529999999999999"/>
    <n v="1172878890"/>
  </r>
  <r>
    <x v="4"/>
    <s v="IND"/>
    <x v="7"/>
    <n v="1021.8870770682593"/>
    <n v="6.3728813559323099"/>
    <n v="7.5620000000000003"/>
    <n v="1190676021"/>
  </r>
  <r>
    <x v="4"/>
    <s v="IND"/>
    <x v="8"/>
    <n v="992.51958492382755"/>
    <n v="8.3492670490757401"/>
    <n v="7.6289999999999996"/>
    <n v="1207930964"/>
  </r>
  <r>
    <x v="4"/>
    <s v="IND"/>
    <x v="9"/>
    <n v="1094.9497459843622"/>
    <n v="10.8823529411764"/>
    <n v="7.6360000000000001"/>
    <n v="1225524753"/>
  </r>
  <r>
    <x v="4"/>
    <s v="IND"/>
    <x v="10"/>
    <n v="1347.5193907136679"/>
    <n v="11.989389920424401"/>
    <n v="7.6310000000000002"/>
    <n v="1243481564"/>
  </r>
  <r>
    <x v="4"/>
    <s v="IND"/>
    <x v="11"/>
    <n v="1445.4612748603658"/>
    <n v="8.9117933648335992"/>
    <n v="7.609"/>
    <n v="1261224954"/>
  </r>
  <r>
    <x v="4"/>
    <s v="IND"/>
    <x v="12"/>
    <n v="1429.321995200319"/>
    <n v="9.4789969141979196"/>
    <n v="7.6449999999999996"/>
    <n v="1278674502"/>
  </r>
  <r>
    <x v="4"/>
    <s v="IND"/>
    <x v="13"/>
    <n v="1432.843975121953"/>
    <n v="10.0178784746104"/>
    <n v="7.6779999999999999"/>
    <n v="1295829511"/>
  </r>
  <r>
    <x v="4"/>
    <s v="IND"/>
    <x v="14"/>
    <n v="1553.8839607511832"/>
    <n v="6.6656567186789903"/>
    <n v="7.6559999999999997"/>
    <n v="1312277191"/>
  </r>
  <r>
    <x v="4"/>
    <s v="IND"/>
    <x v="15"/>
    <n v="1583.9981590798479"/>
    <n v="4.9069734412724904"/>
    <n v="7.6289999999999996"/>
    <n v="1328024498"/>
  </r>
  <r>
    <x v="4"/>
    <s v="IND"/>
    <x v="16"/>
    <n v="1707.5089291224338"/>
    <n v="4.9482163406213404"/>
    <n v="7.6109999999999998"/>
    <n v="1343944296"/>
  </r>
  <r>
    <x v="4"/>
    <s v="IND"/>
    <x v="17"/>
    <n v="1950.1046828086635"/>
    <n v="3.3281733746130402"/>
    <n v="7.6260000000000003"/>
    <n v="1359657400"/>
  </r>
  <r>
    <x v="4"/>
    <s v="IND"/>
    <x v="18"/>
    <n v="1966.2545517167889"/>
    <n v="3.9388264669164199"/>
    <n v="7.6520000000000001"/>
    <n v="1374659064"/>
  </r>
  <r>
    <x v="4"/>
    <s v="IND"/>
    <x v="19"/>
    <n v="2041.4286369858535"/>
    <n v="3.7295057353912302"/>
    <n v="6.51"/>
    <n v="1389030312"/>
  </r>
  <r>
    <x v="4"/>
    <s v="IND"/>
    <x v="20"/>
    <n v="1907.042516376687"/>
    <n v="6.6234367762852902"/>
    <n v="7.859"/>
    <n v="1402617695"/>
  </r>
  <r>
    <x v="4"/>
    <s v="IND"/>
    <x v="21"/>
    <n v="2239.6138436748224"/>
    <n v="5.1314074717636302"/>
    <n v="6.38"/>
    <n v="1414203896"/>
  </r>
  <r>
    <x v="4"/>
    <s v="IND"/>
    <x v="22"/>
    <n v="2279.9814571936909"/>
    <n v="6.6990341407985703"/>
    <n v="4.8220000000000001"/>
    <n v="1425423212"/>
  </r>
  <r>
    <x v="4"/>
    <s v="IND"/>
    <x v="23"/>
    <n v="2434.4482634098913"/>
    <n v="5.6491431890792496"/>
    <n v="4.1719999999999997"/>
    <n v="1438069596"/>
  </r>
  <r>
    <x v="4"/>
    <s v="IND"/>
    <x v="24"/>
    <n v="2591.9916607121977"/>
    <n v="4.9530355097366003"/>
    <n v="4.173"/>
    <n v="1450935791"/>
  </r>
  <r>
    <x v="5"/>
    <s v="IDN"/>
    <x v="0"/>
    <n v="763.7111249509245"/>
    <n v="3.6886203705668099"/>
    <n v="6.077"/>
    <n v="216077790"/>
  </r>
  <r>
    <x v="5"/>
    <s v="IDN"/>
    <x v="1"/>
    <n v="732.30709340570763"/>
    <n v="11.5001160550887"/>
    <n v="6.0819999999999999"/>
    <n v="219097902"/>
  </r>
  <r>
    <x v="5"/>
    <s v="IDN"/>
    <x v="2"/>
    <n v="881.00291356913124"/>
    <n v="11.900120033841301"/>
    <n v="6.6040000000000001"/>
    <n v="222088495"/>
  </r>
  <r>
    <x v="5"/>
    <s v="IDN"/>
    <x v="3"/>
    <n v="1043.2105838671025"/>
    <n v="6.7573125633356401"/>
    <n v="6.657"/>
    <n v="225048008"/>
  </r>
  <r>
    <x v="5"/>
    <s v="IDN"/>
    <x v="4"/>
    <n v="1126.8400444717279"/>
    <n v="6.0640618913364701"/>
    <n v="7.3029999999999999"/>
    <n v="227926649"/>
  </r>
  <r>
    <x v="5"/>
    <s v="IDN"/>
    <x v="5"/>
    <n v="1238.2144762948797"/>
    <n v="10.4532001873347"/>
    <n v="7.9450000000000003"/>
    <n v="230871650"/>
  </r>
  <r>
    <x v="5"/>
    <s v="IDN"/>
    <x v="6"/>
    <n v="1558.3156284716338"/>
    <n v="13.108670985345899"/>
    <n v="7.5510000000000002"/>
    <n v="233951652"/>
  </r>
  <r>
    <x v="5"/>
    <s v="IDN"/>
    <x v="7"/>
    <n v="1823.2197625507274"/>
    <n v="6.4065608796600397"/>
    <n v="8.06"/>
    <n v="237062337"/>
  </r>
  <r>
    <x v="5"/>
    <s v="IDN"/>
    <x v="8"/>
    <n v="2124.5548392061796"/>
    <n v="10.2266663272482"/>
    <n v="7.2080000000000002"/>
    <n v="240157903"/>
  </r>
  <r>
    <x v="5"/>
    <s v="IDN"/>
    <x v="9"/>
    <n v="2218.4854185297663"/>
    <n v="4.3864131179207302"/>
    <n v="6.1059999999999999"/>
    <n v="243220028"/>
  </r>
  <r>
    <x v="5"/>
    <s v="IDN"/>
    <x v="10"/>
    <n v="3065.6834837776487"/>
    <n v="5.1342063901588499"/>
    <n v="5.6139999999999999"/>
    <n v="246305322"/>
  </r>
  <r>
    <x v="5"/>
    <s v="IDN"/>
    <x v="11"/>
    <n v="3579.4644246615212"/>
    <n v="5.3560484911258204"/>
    <n v="5.1529999999999996"/>
    <n v="249470032"/>
  </r>
  <r>
    <x v="5"/>
    <s v="IDN"/>
    <x v="12"/>
    <n v="3632.2725403033064"/>
    <n v="4.2795142691942996"/>
    <n v="4.468"/>
    <n v="252698525"/>
  </r>
  <r>
    <x v="5"/>
    <s v="IDN"/>
    <x v="13"/>
    <n v="3566.6028450607755"/>
    <n v="6.4124945790039103"/>
    <n v="4.3360000000000003"/>
    <n v="255852467"/>
  </r>
  <r>
    <x v="5"/>
    <s v="IDN"/>
    <x v="14"/>
    <n v="3441.0680846400842"/>
    <n v="6.3949288239655901"/>
    <n v="4.0490000000000004"/>
    <n v="258877399"/>
  </r>
  <r>
    <x v="5"/>
    <s v="IDN"/>
    <x v="15"/>
    <n v="3288.222697255384"/>
    <n v="6.3631206119664601"/>
    <n v="4.5140000000000002"/>
    <n v="261799249"/>
  </r>
  <r>
    <x v="5"/>
    <s v="IDN"/>
    <x v="16"/>
    <n v="3521.469434575738"/>
    <n v="3.5258045281545098"/>
    <n v="4.3010000000000002"/>
    <n v="264627418"/>
  </r>
  <r>
    <x v="5"/>
    <s v="IDN"/>
    <x v="17"/>
    <n v="3798.8832617452576"/>
    <n v="3.8087985769194801"/>
    <n v="3.7829999999999999"/>
    <n v="267346658"/>
  </r>
  <r>
    <x v="5"/>
    <s v="IDN"/>
    <x v="18"/>
    <n v="3860.9535309072558"/>
    <n v="3.1983475592499602"/>
    <n v="4.3869999999999996"/>
    <n v="269951846"/>
  </r>
  <r>
    <x v="5"/>
    <s v="IDN"/>
    <x v="19"/>
    <n v="4106.9485616035772"/>
    <n v="3.0305846094166"/>
    <n v="3.59"/>
    <n v="272489381"/>
  </r>
  <r>
    <x v="5"/>
    <s v="IDN"/>
    <x v="20"/>
    <n v="3853.7028877414587"/>
    <n v="1.91983527270792"/>
    <n v="4.2549999999999999"/>
    <n v="274814866"/>
  </r>
  <r>
    <x v="5"/>
    <s v="IDN"/>
    <x v="21"/>
    <n v="4287.1731399509836"/>
    <n v="1.5600788298333399"/>
    <n v="3.827"/>
    <n v="276758053"/>
  </r>
  <r>
    <x v="5"/>
    <s v="IDN"/>
    <x v="22"/>
    <n v="4730.8348483610689"/>
    <n v="4.2094646371478399"/>
    <n v="3.4620000000000002"/>
    <n v="278830529"/>
  </r>
  <r>
    <x v="5"/>
    <s v="IDN"/>
    <x v="23"/>
    <n v="4876.2992959842977"/>
    <n v="3.6693865485976098"/>
    <n v="3.3079999999999998"/>
    <n v="281190067"/>
  </r>
  <r>
    <x v="5"/>
    <s v="IDN"/>
    <x v="24"/>
    <n v="4925.4364499266594"/>
    <n v="2.18151273615188"/>
    <n v="3.3010000000000002"/>
    <n v="283487931"/>
  </r>
  <r>
    <x v="6"/>
    <s v="IRL"/>
    <x v="0"/>
    <n v="26334.567205050083"/>
    <n v="5.5634402497870701"/>
    <n v="4.3179999999999996"/>
    <n v="3805174"/>
  </r>
  <r>
    <x v="6"/>
    <s v="IRL"/>
    <x v="1"/>
    <n v="28282.40988207296"/>
    <n v="4.8668997042215798"/>
    <n v="3.6840000000000002"/>
    <n v="3866243"/>
  </r>
  <r>
    <x v="6"/>
    <s v="IRL"/>
    <x v="2"/>
    <n v="32705.434556569817"/>
    <n v="4.62820512820515"/>
    <n v="4.2160000000000002"/>
    <n v="3931947"/>
  </r>
  <r>
    <x v="6"/>
    <s v="IRL"/>
    <x v="3"/>
    <n v="41203.529584756849"/>
    <n v="3.4922190907976498"/>
    <n v="4.4779999999999998"/>
    <n v="3996521"/>
  </r>
  <r>
    <x v="6"/>
    <s v="IRL"/>
    <x v="4"/>
    <n v="47754.202319424396"/>
    <n v="2.17854605730522"/>
    <n v="4.4909999999999997"/>
    <n v="4070262"/>
  </r>
  <r>
    <x v="6"/>
    <s v="IRL"/>
    <x v="5"/>
    <n v="50933.021609558884"/>
    <n v="2.4565469293163802"/>
    <n v="4.2370000000000001"/>
    <n v="4159914"/>
  </r>
  <r>
    <x v="6"/>
    <s v="IRL"/>
    <x v="6"/>
    <n v="54329.161859962383"/>
    <n v="3.9357611400135299"/>
    <n v="4.3550000000000004"/>
    <n v="4273591"/>
  </r>
  <r>
    <x v="6"/>
    <s v="IRL"/>
    <x v="7"/>
    <n v="61396.417461175995"/>
    <n v="4.8857453754080096"/>
    <n v="4.9800000000000004"/>
    <n v="4398942"/>
  </r>
  <r>
    <x v="6"/>
    <s v="IRL"/>
    <x v="8"/>
    <n v="61353.106562952322"/>
    <n v="4.0356883494139097"/>
    <n v="6.774"/>
    <n v="4489544"/>
  </r>
  <r>
    <x v="6"/>
    <s v="IRL"/>
    <x v="9"/>
    <n v="52133.090616254391"/>
    <n v="-4.4475468687674597"/>
    <n v="12.609"/>
    <n v="4535375"/>
  </r>
  <r>
    <x v="6"/>
    <s v="IRL"/>
    <x v="10"/>
    <n v="48623.966642248728"/>
    <n v="-0.91838864537677301"/>
    <n v="14.534000000000001"/>
    <n v="4560155"/>
  </r>
  <r>
    <x v="6"/>
    <s v="IRL"/>
    <x v="11"/>
    <n v="52613.854035568875"/>
    <n v="2.5489783020855001"/>
    <n v="15.353999999999999"/>
    <n v="4580084"/>
  </r>
  <r>
    <x v="6"/>
    <s v="IRL"/>
    <x v="12"/>
    <n v="49335.840809955524"/>
    <n v="1.69474116680366"/>
    <n v="15.451000000000001"/>
    <n v="4599533"/>
  </r>
  <r>
    <x v="6"/>
    <s v="IRL"/>
    <x v="13"/>
    <n v="52537.610864869188"/>
    <n v="0.515099484900573"/>
    <n v="13.734999999999999"/>
    <n v="4623816"/>
  </r>
  <r>
    <x v="6"/>
    <s v="IRL"/>
    <x v="14"/>
    <n v="57214.537978570908"/>
    <n v="0.190916398713744"/>
    <n v="11.858000000000001"/>
    <n v="4657740"/>
  </r>
  <r>
    <x v="6"/>
    <s v="IRL"/>
    <x v="15"/>
    <n v="64250.138518125656"/>
    <n v="-0.330959783371787"/>
    <n v="9.9079999999999995"/>
    <n v="4701957"/>
  </r>
  <r>
    <x v="6"/>
    <s v="IRL"/>
    <x v="16"/>
    <n v="64129.557154238319"/>
    <n v="2.01247735963236E-2"/>
    <n v="8.3740000000000006"/>
    <n v="4762722"/>
  </r>
  <r>
    <x v="6"/>
    <s v="IRL"/>
    <x v="17"/>
    <n v="72161.4047531385"/>
    <n v="0.36217303822937702"/>
    <n v="6.7130000000000001"/>
    <n v="4827445"/>
  </r>
  <r>
    <x v="6"/>
    <s v="IRL"/>
    <x v="18"/>
    <n v="80804.112316482628"/>
    <n v="0.47113071371291498"/>
    <n v="5.7409999999999997"/>
    <n v="4898022"/>
  </r>
  <r>
    <x v="6"/>
    <s v="IRL"/>
    <x v="19"/>
    <n v="81827.668887399603"/>
    <n v="0.93784296118927302"/>
    <n v="4.95"/>
    <n v="4976456"/>
  </r>
  <r>
    <x v="6"/>
    <s v="IRL"/>
    <x v="20"/>
    <n v="86514.070610875409"/>
    <n v="-0.32618365128003202"/>
    <n v="5.6230000000000002"/>
    <n v="5039747"/>
  </r>
  <r>
    <x v="6"/>
    <s v="IRL"/>
    <x v="21"/>
    <n v="103783.44628447875"/>
    <n v="2.3403411344704299"/>
    <n v="6.3570000000000002"/>
    <n v="5110585"/>
  </r>
  <r>
    <x v="6"/>
    <s v="IRL"/>
    <x v="22"/>
    <n v="105190.68595273084"/>
    <n v="7.8294573643410397"/>
    <n v="4.4649999999999999"/>
    <n v="5212836"/>
  </r>
  <r>
    <x v="6"/>
    <s v="IRL"/>
    <x v="23"/>
    <n v="106818.91713080389"/>
    <n v="6.2994248741912404"/>
    <n v="4.2430000000000003"/>
    <n v="5311538"/>
  </r>
  <r>
    <x v="6"/>
    <s v="IRL"/>
    <x v="24"/>
    <n v="112894.95324080539"/>
    <n v="2.1134499957731601"/>
    <n v="4.3"/>
    <n v="5395790"/>
  </r>
  <r>
    <x v="7"/>
    <s v="ITA"/>
    <x v="0"/>
    <n v="20190.00356360841"/>
    <n v="2.5376871362644202"/>
    <n v="10.834"/>
    <n v="56942108"/>
  </r>
  <r>
    <x v="7"/>
    <s v="ITA"/>
    <x v="1"/>
    <n v="20570.438591786176"/>
    <n v="2.7851645190571901"/>
    <n v="9.5990000000000002"/>
    <n v="56976981"/>
  </r>
  <r>
    <x v="7"/>
    <s v="ITA"/>
    <x v="2"/>
    <n v="22451.396437936848"/>
    <n v="2.46532018051998"/>
    <n v="9.2110000000000003"/>
    <n v="57089824"/>
  </r>
  <r>
    <x v="7"/>
    <s v="ITA"/>
    <x v="3"/>
    <n v="27577.570031985477"/>
    <n v="2.6725583851331298"/>
    <n v="8.8689999999999998"/>
    <n v="57399184"/>
  </r>
  <r>
    <x v="7"/>
    <s v="ITA"/>
    <x v="4"/>
    <n v="31348.190184144543"/>
    <n v="2.2067358779244701"/>
    <n v="7.8659999999999997"/>
    <n v="57828179"/>
  </r>
  <r>
    <x v="7"/>
    <s v="ITA"/>
    <x v="5"/>
    <n v="32062.723833669032"/>
    <n v="1.9852951636120499"/>
    <n v="7.73"/>
    <n v="58166682"/>
  </r>
  <r>
    <x v="7"/>
    <s v="ITA"/>
    <x v="6"/>
    <n v="33537.128699426947"/>
    <n v="2.09084154117072"/>
    <n v="6.7770000000000001"/>
    <n v="58399861"/>
  </r>
  <r>
    <x v="7"/>
    <s v="ITA"/>
    <x v="7"/>
    <n v="37826.175455482276"/>
    <n v="1.8297392906679399"/>
    <n v="6.0759999999999996"/>
    <n v="58756247"/>
  </r>
  <r>
    <x v="7"/>
    <s v="ITA"/>
    <x v="8"/>
    <n v="40828.579558093719"/>
    <n v="3.34783416446058"/>
    <n v="6.7229999999999999"/>
    <n v="59211181"/>
  </r>
  <r>
    <x v="7"/>
    <s v="ITA"/>
    <x v="9"/>
    <n v="37099.6133958219"/>
    <n v="0.77476840513046696"/>
    <n v="7.7489999999999997"/>
    <n v="59555454"/>
  </r>
  <r>
    <x v="7"/>
    <s v="ITA"/>
    <x v="10"/>
    <n v="35856.862548553916"/>
    <n v="1.5255152483765599"/>
    <n v="8.3629999999999995"/>
    <n v="59819407"/>
  </r>
  <r>
    <x v="7"/>
    <s v="ITA"/>
    <x v="11"/>
    <n v="38432.37428200186"/>
    <n v="2.7805745844426002"/>
    <n v="8.359"/>
    <n v="60026841"/>
  </r>
  <r>
    <x v="7"/>
    <s v="ITA"/>
    <x v="12"/>
    <n v="34854.394944196458"/>
    <n v="3.0413611208225801"/>
    <n v="10.654999999999999"/>
    <n v="60191247"/>
  </r>
  <r>
    <x v="7"/>
    <s v="ITA"/>
    <x v="13"/>
    <n v="35701.674600237551"/>
    <n v="1.21999478919838"/>
    <n v="12.148999999999999"/>
    <n v="60311613"/>
  </r>
  <r>
    <x v="7"/>
    <s v="ITA"/>
    <x v="14"/>
    <n v="36028.349402234882"/>
    <n v="0.24105662726226501"/>
    <n v="12.683"/>
    <n v="60320707"/>
  </r>
  <r>
    <x v="7"/>
    <s v="ITA"/>
    <x v="15"/>
    <n v="30639.882975143213"/>
    <n v="3.8788054612378303E-2"/>
    <n v="11.896000000000001"/>
    <n v="60229605"/>
  </r>
  <r>
    <x v="7"/>
    <s v="ITA"/>
    <x v="16"/>
    <n v="31391.569289810846"/>
    <n v="-9.4066386793201506E-2"/>
    <n v="11.688000000000001"/>
    <n v="60115223"/>
  </r>
  <r>
    <x v="7"/>
    <s v="ITA"/>
    <x v="17"/>
    <n v="32844.115660604024"/>
    <n v="1.2265288140113499"/>
    <n v="11.211"/>
    <n v="60002252"/>
  </r>
  <r>
    <x v="7"/>
    <s v="ITA"/>
    <x v="18"/>
    <n v="35062.336417694889"/>
    <n v="1.1374858757867501"/>
    <n v="10.538"/>
    <n v="59877221"/>
  </r>
  <r>
    <x v="7"/>
    <s v="ITA"/>
    <x v="19"/>
    <n v="33812.788724867976"/>
    <n v="0.61124944050639796"/>
    <n v="9.8840000000000003"/>
    <n v="59729081"/>
  </r>
  <r>
    <x v="7"/>
    <s v="ITA"/>
    <x v="20"/>
    <n v="32091.486662136638"/>
    <n v="-0.13770725904821601"/>
    <n v="9.1920000000000002"/>
    <n v="59438851"/>
  </r>
  <r>
    <x v="7"/>
    <s v="ITA"/>
    <x v="21"/>
    <n v="36852.542541495095"/>
    <n v="1.87378306224529"/>
    <n v="9.4969999999999999"/>
    <n v="59133173"/>
  </r>
  <r>
    <x v="7"/>
    <s v="ITA"/>
    <x v="22"/>
    <n v="35653.904210349501"/>
    <n v="8.20128981173605"/>
    <n v="8.0690000000000008"/>
    <n v="59013667"/>
  </r>
  <r>
    <x v="7"/>
    <s v="ITA"/>
    <x v="23"/>
    <n v="39279.699782164018"/>
    <n v="5.6221929221645697"/>
    <n v="7.6269999999999998"/>
    <n v="58984216"/>
  </r>
  <r>
    <x v="7"/>
    <s v="ITA"/>
    <x v="24"/>
    <n v="40429.622404735237"/>
    <n v="0.98237511163771896"/>
    <n v="6.5"/>
    <n v="58952704"/>
  </r>
  <r>
    <x v="8"/>
    <s v="JPN"/>
    <x v="0"/>
    <n v="39752.93739775502"/>
    <n v="-0.67657868359517503"/>
    <n v="4.7480000000000002"/>
    <n v="126843000"/>
  </r>
  <r>
    <x v="8"/>
    <s v="JPN"/>
    <x v="1"/>
    <n v="34910.166403686977"/>
    <n v="-0.74005550416273702"/>
    <n v="5.0199999999999996"/>
    <n v="127149000"/>
  </r>
  <r>
    <x v="8"/>
    <s v="JPN"/>
    <x v="2"/>
    <n v="33315.916517496204"/>
    <n v="-0.92349402694231997"/>
    <n v="5.3860000000000001"/>
    <n v="127445000"/>
  </r>
  <r>
    <x v="8"/>
    <s v="JPN"/>
    <x v="3"/>
    <n v="35808.681679238784"/>
    <n v="-0.25654181631602402"/>
    <n v="5.2510000000000003"/>
    <n v="127718000"/>
  </r>
  <r>
    <x v="8"/>
    <s v="JPN"/>
    <x v="4"/>
    <n v="38677.570806478747"/>
    <n v="-8.5733882031027095E-3"/>
    <n v="4.734"/>
    <n v="127761000"/>
  </r>
  <r>
    <x v="8"/>
    <s v="JPN"/>
    <x v="5"/>
    <n v="38158.675826396313"/>
    <n v="-0.28294606876438999"/>
    <n v="4.4459999999999997"/>
    <n v="127773000"/>
  </r>
  <r>
    <x v="8"/>
    <s v="JPN"/>
    <x v="6"/>
    <n v="36354.427164634937"/>
    <n v="0.249355116079084"/>
    <n v="4.1920000000000002"/>
    <n v="127854000"/>
  </r>
  <r>
    <x v="8"/>
    <s v="JPN"/>
    <x v="7"/>
    <n v="36129.95351329253"/>
    <n v="6.0039454498668897E-2"/>
    <n v="3.8879999999999999"/>
    <n v="128001000"/>
  </r>
  <r>
    <x v="8"/>
    <s v="JPN"/>
    <x v="8"/>
    <n v="40294.208130970161"/>
    <n v="1.3800788616491999"/>
    <n v="4.0019999999999998"/>
    <n v="128063000"/>
  </r>
  <r>
    <x v="8"/>
    <s v="JPN"/>
    <x v="9"/>
    <n v="41678.178306319511"/>
    <n v="-1.3528367295171799"/>
    <n v="5.0679999999999996"/>
    <n v="128047000"/>
  </r>
  <r>
    <x v="8"/>
    <s v="JPN"/>
    <x v="10"/>
    <n v="45378.137810939865"/>
    <n v="-0.72824320751777805"/>
    <n v="5.1020000000000003"/>
    <n v="128070000"/>
  </r>
  <r>
    <x v="8"/>
    <s v="JPN"/>
    <x v="11"/>
    <n v="49122.077634247042"/>
    <n v="-0.27245561610123997"/>
    <n v="4.55"/>
    <n v="127833000"/>
  </r>
  <r>
    <x v="8"/>
    <s v="JPN"/>
    <x v="12"/>
    <n v="49626.683032757101"/>
    <n v="-4.4064510443260103E-2"/>
    <n v="4.3579999999999997"/>
    <n v="127629000"/>
  </r>
  <r>
    <x v="8"/>
    <s v="JPN"/>
    <x v="13"/>
    <n v="41369.19484794981"/>
    <n v="0.33503791218474099"/>
    <n v="4.0380000000000003"/>
    <n v="127445000"/>
  </r>
  <r>
    <x v="8"/>
    <s v="JPN"/>
    <x v="14"/>
    <n v="39172.847116194796"/>
    <n v="2.7592267135325299"/>
    <n v="3.589"/>
    <n v="127276000"/>
  </r>
  <r>
    <x v="8"/>
    <s v="JPN"/>
    <x v="15"/>
    <n v="35664.644611061267"/>
    <n v="0.79527963057983897"/>
    <n v="3.3849999999999998"/>
    <n v="127141000"/>
  </r>
  <r>
    <x v="8"/>
    <s v="JPN"/>
    <x v="16"/>
    <n v="40214.968863156188"/>
    <n v="-0.127258844489753"/>
    <n v="3.1320000000000001"/>
    <n v="127076000"/>
  </r>
  <r>
    <x v="8"/>
    <s v="JPN"/>
    <x v="17"/>
    <n v="39679.86352629483"/>
    <n v="0.48419979612638497"/>
    <n v="2.8220000000000001"/>
    <n v="126972000"/>
  </r>
  <r>
    <x v="8"/>
    <s v="JPN"/>
    <x v="18"/>
    <n v="40645.47808651896"/>
    <n v="0.98909459802184796"/>
    <n v="2.4670000000000001"/>
    <n v="126811000"/>
  </r>
  <r>
    <x v="8"/>
    <s v="JPN"/>
    <x v="19"/>
    <n v="41424.865560154343"/>
    <n v="0.46877615938394901"/>
    <n v="2.351"/>
    <n v="126633000"/>
  </r>
  <r>
    <x v="8"/>
    <s v="JPN"/>
    <x v="20"/>
    <n v="41098.973900455276"/>
    <n v="-2.4995834027731E-2"/>
    <n v="2.8090000000000002"/>
    <n v="126261000"/>
  </r>
  <r>
    <x v="8"/>
    <s v="JPN"/>
    <x v="21"/>
    <n v="41580.739040705004"/>
    <n v="-0.23335277939826299"/>
    <n v="2.8079999999999998"/>
    <n v="125681593"/>
  </r>
  <r>
    <x v="8"/>
    <s v="JPN"/>
    <x v="22"/>
    <n v="35548.264522243298"/>
    <n v="2.4977027817225399"/>
    <n v="2.6139999999999999"/>
    <n v="125124989"/>
  </r>
  <r>
    <x v="8"/>
    <s v="JPN"/>
    <x v="23"/>
    <n v="35215.003535365977"/>
    <n v="3.2681336593316299"/>
    <n v="2.6"/>
    <n v="124516650"/>
  </r>
  <r>
    <x v="8"/>
    <s v="JPN"/>
    <x v="24"/>
    <n v="33797.10142878761"/>
    <n v="2.7385368163524002"/>
    <n v="2.5"/>
    <n v="123975371"/>
  </r>
  <r>
    <x v="9"/>
    <s v="NLD"/>
    <x v="0"/>
    <n v="26225.16977341492"/>
    <n v="2.3605242578350598"/>
    <n v="2.7250000000000001"/>
    <n v="15925513"/>
  </r>
  <r>
    <x v="9"/>
    <s v="NLD"/>
    <x v="1"/>
    <n v="26955.71280322782"/>
    <n v="4.15583998647742"/>
    <n v="2.1190000000000002"/>
    <n v="16046180"/>
  </r>
  <r>
    <x v="9"/>
    <s v="NLD"/>
    <x v="2"/>
    <n v="29446.53308728684"/>
    <n v="3.2875354185016201"/>
    <n v="2.5539999999999998"/>
    <n v="16148929"/>
  </r>
  <r>
    <x v="9"/>
    <s v="NLD"/>
    <x v="3"/>
    <n v="35896.750463070552"/>
    <n v="2.0919945670734901"/>
    <n v="3.593"/>
    <n v="16225302"/>
  </r>
  <r>
    <x v="9"/>
    <s v="NLD"/>
    <x v="4"/>
    <n v="40611.341435309063"/>
    <n v="1.2636479497031301"/>
    <n v="4.6459999999999999"/>
    <n v="16281779"/>
  </r>
  <r>
    <x v="9"/>
    <s v="NLD"/>
    <x v="5"/>
    <n v="42165.396168387968"/>
    <n v="1.6881313636312101"/>
    <n v="5.8719999999999999"/>
    <n v="16319868"/>
  </r>
  <r>
    <x v="9"/>
    <s v="NLD"/>
    <x v="6"/>
    <n v="45123.543240642568"/>
    <n v="1.10150138046139"/>
    <n v="5.0069999999999997"/>
    <n v="16346101"/>
  </r>
  <r>
    <x v="9"/>
    <s v="NLD"/>
    <x v="7"/>
    <n v="52100.79962859473"/>
    <n v="1.6138561707203101"/>
    <n v="4.1529999999999996"/>
    <n v="16381696"/>
  </r>
  <r>
    <x v="9"/>
    <s v="NLD"/>
    <x v="8"/>
    <n v="58246.702690587445"/>
    <n v="2.48650272563403"/>
    <n v="3.6579999999999999"/>
    <n v="16445593"/>
  </r>
  <r>
    <x v="9"/>
    <s v="NLD"/>
    <x v="9"/>
    <n v="53172.026158141831"/>
    <n v="1.1897753827351001"/>
    <n v="4.3520000000000003"/>
    <n v="16530388"/>
  </r>
  <r>
    <x v="9"/>
    <s v="NLD"/>
    <x v="10"/>
    <n v="51305.733853397338"/>
    <n v="1.2745772741866299"/>
    <n v="4.9909999999999997"/>
    <n v="16615394"/>
  </r>
  <r>
    <x v="9"/>
    <s v="NLD"/>
    <x v="11"/>
    <n v="54701.772803061118"/>
    <n v="2.3420865862313298"/>
    <n v="4.9770000000000003"/>
    <n v="16693074"/>
  </r>
  <r>
    <x v="9"/>
    <s v="NLD"/>
    <x v="12"/>
    <n v="50473.944200268867"/>
    <n v="2.4558802429575799"/>
    <n v="5.8209999999999997"/>
    <n v="16754962"/>
  </r>
  <r>
    <x v="9"/>
    <s v="NLD"/>
    <x v="13"/>
    <n v="52602.286052076568"/>
    <n v="2.5113782238300901"/>
    <n v="7.2409999999999997"/>
    <n v="16804432"/>
  </r>
  <r>
    <x v="9"/>
    <s v="NLD"/>
    <x v="14"/>
    <n v="53457.223486432231"/>
    <n v="0.97106167892349704"/>
    <n v="7.4189999999999996"/>
    <n v="16865008"/>
  </r>
  <r>
    <x v="9"/>
    <s v="NLD"/>
    <x v="15"/>
    <n v="45793.813543469711"/>
    <n v="0.60093579119456897"/>
    <n v="6.8719999999999999"/>
    <n v="16939923"/>
  </r>
  <r>
    <x v="9"/>
    <s v="NLD"/>
    <x v="16"/>
    <n v="46808.529149250287"/>
    <n v="0.319406464338503"/>
    <n v="6.0069999999999997"/>
    <n v="17030314"/>
  </r>
  <r>
    <x v="9"/>
    <s v="NLD"/>
    <x v="17"/>
    <n v="49513.681734638398"/>
    <n v="1.3796878665669401"/>
    <n v="4.8369999999999997"/>
    <n v="17131296"/>
  </r>
  <r>
    <x v="9"/>
    <s v="NLD"/>
    <x v="18"/>
    <n v="53955.077002426588"/>
    <n v="1.7036188125357901"/>
    <n v="3.8319999999999999"/>
    <n v="17231624"/>
  </r>
  <r>
    <x v="9"/>
    <s v="NLD"/>
    <x v="19"/>
    <n v="53554.900749147506"/>
    <n v="2.6339740394825402"/>
    <n v="3.379"/>
    <n v="17344874"/>
  </r>
  <r>
    <x v="9"/>
    <s v="NLD"/>
    <x v="20"/>
    <n v="53467.927741373729"/>
    <n v="1.26788070731057"/>
    <n v="3.82"/>
    <n v="17441500"/>
  </r>
  <r>
    <x v="9"/>
    <s v="NLD"/>
    <x v="21"/>
    <n v="60141.988091149229"/>
    <n v="2.68123345078501"/>
    <n v="4.2089999999999996"/>
    <n v="17533044"/>
  </r>
  <r>
    <x v="9"/>
    <s v="NLD"/>
    <x v="22"/>
    <n v="59123.318556486993"/>
    <n v="9.9981725517268707"/>
    <n v="3.5259999999999998"/>
    <n v="17700982"/>
  </r>
  <r>
    <x v="9"/>
    <s v="NLD"/>
    <x v="23"/>
    <n v="63515.603078001921"/>
    <n v="3.8423199748953198"/>
    <n v="3.5350000000000001"/>
    <n v="17877117"/>
  </r>
  <r>
    <x v="9"/>
    <s v="NLD"/>
    <x v="24"/>
    <n v="67465.32081268754"/>
    <n v="3.3463989547502502"/>
    <n v="3.7"/>
    <n v="17993485"/>
  </r>
  <r>
    <x v="10"/>
    <s v="RUS"/>
    <x v="0"/>
    <n v="1771.59411621094"/>
    <n v="20.798760655870399"/>
    <n v="10.581"/>
    <n v="146596869"/>
  </r>
  <r>
    <x v="10"/>
    <s v="RUS"/>
    <x v="1"/>
    <n v="2100.3525390625"/>
    <n v="21.477007211715801"/>
    <n v="8.9779999999999998"/>
    <n v="145976482"/>
  </r>
  <r>
    <x v="10"/>
    <s v="RUS"/>
    <x v="2"/>
    <n v="2377.52954101563"/>
    <n v="15.7887307914462"/>
    <n v="7.875"/>
    <n v="145306497"/>
  </r>
  <r>
    <x v="10"/>
    <s v="RUS"/>
    <x v="3"/>
    <n v="2975.123046875"/>
    <n v="13.663293022866499"/>
    <n v="8.2100000000000009"/>
    <n v="144648618"/>
  </r>
  <r>
    <x v="10"/>
    <s v="RUS"/>
    <x v="4"/>
    <n v="4102.36474609375"/>
    <n v="10.888615732621499"/>
    <n v="7.7629999999999999"/>
    <n v="144067316"/>
  </r>
  <r>
    <x v="10"/>
    <s v="RUS"/>
    <x v="5"/>
    <n v="5323.455078125"/>
    <n v="12.6853039507349"/>
    <n v="7.1239999999999997"/>
    <n v="143518814"/>
  </r>
  <r>
    <x v="10"/>
    <s v="RUS"/>
    <x v="6"/>
    <n v="6920.19970703125"/>
    <n v="9.6686545478926398"/>
    <n v="7.0549999999999997"/>
    <n v="143049637"/>
  </r>
  <r>
    <x v="10"/>
    <s v="RUS"/>
    <x v="7"/>
    <n v="9101.2392578125"/>
    <n v="9.0072986886107902"/>
    <n v="6.0019999999999998"/>
    <n v="142805114"/>
  </r>
  <r>
    <x v="10"/>
    <s v="RUS"/>
    <x v="8"/>
    <n v="11635.2841796875"/>
    <n v="14.110767784044199"/>
    <n v="6.2050000000000001"/>
    <n v="142742366"/>
  </r>
  <r>
    <x v="10"/>
    <s v="RUS"/>
    <x v="9"/>
    <n v="8562.82421875"/>
    <n v="11.6473295764117"/>
    <n v="8.3010000000000002"/>
    <n v="142785348"/>
  </r>
  <r>
    <x v="10"/>
    <s v="RUS"/>
    <x v="10"/>
    <n v="10674.990234375"/>
    <n v="6.8493923025502399"/>
    <n v="7.407"/>
    <n v="142849468"/>
  </r>
  <r>
    <x v="10"/>
    <s v="RUS"/>
    <x v="11"/>
    <n v="14305.33203125"/>
    <n v="8.4404648593257008"/>
    <n v="6.5709999999999997"/>
    <n v="143018195"/>
  </r>
  <r>
    <x v="10"/>
    <s v="RUS"/>
    <x v="12"/>
    <n v="15401.8515625"/>
    <n v="5.0747430079914899"/>
    <n v="5.484"/>
    <n v="143378447"/>
  </r>
  <r>
    <x v="10"/>
    <s v="RUS"/>
    <x v="13"/>
    <n v="15941.4482421875"/>
    <n v="6.7546683390348603"/>
    <n v="5.5129999999999999"/>
    <n v="143805638"/>
  </r>
  <r>
    <x v="10"/>
    <s v="RUS"/>
    <x v="14"/>
    <n v="14055.47265625"/>
    <n v="7.8201697001384396"/>
    <n v="5.2119999999999997"/>
    <n v="144237223"/>
  </r>
  <r>
    <x v="10"/>
    <s v="RUS"/>
    <x v="15"/>
    <n v="9277.7138671875"/>
    <n v="15.534395993570101"/>
    <n v="5.6150000000000002"/>
    <n v="144640716"/>
  </r>
  <r>
    <x v="10"/>
    <s v="RUS"/>
    <x v="16"/>
    <n v="8663.158203125"/>
    <n v="7.0424372541370701"/>
    <n v="5.5910000000000002"/>
    <n v="145015460"/>
  </r>
  <r>
    <x v="10"/>
    <s v="RUS"/>
    <x v="17"/>
    <n v="10658.9130859375"/>
    <n v="3.6833307233449499"/>
    <n v="5.2380000000000004"/>
    <n v="145293260"/>
  </r>
  <r>
    <x v="10"/>
    <s v="RUS"/>
    <x v="18"/>
    <n v="11211.8876953125"/>
    <n v="2.8783138261498"/>
    <n v="4.8710000000000004"/>
    <n v="145398106"/>
  </r>
  <r>
    <x v="10"/>
    <s v="RUS"/>
    <x v="19"/>
    <n v="11447.701171875"/>
    <n v="4.4720263183790303"/>
    <n v="4.5129999999999999"/>
    <n v="145453291"/>
  </r>
  <r>
    <x v="10"/>
    <s v="RUS"/>
    <x v="20"/>
    <n v="10108.3271484375"/>
    <n v="3.3821979694806701"/>
    <n v="5.62"/>
    <n v="145245148"/>
  </r>
  <r>
    <x v="10"/>
    <s v="RUS"/>
    <x v="21"/>
    <n v="12425.029296875"/>
    <n v="6.6944589195761202"/>
    <n v="4.7489999999999997"/>
    <n v="144746762"/>
  </r>
  <r>
    <x v="10"/>
    <s v="RUS"/>
    <x v="22"/>
    <n v="15625.6328125"/>
    <n v="13.743679739823101"/>
    <n v="3.867"/>
    <n v="144236933"/>
  </r>
  <r>
    <x v="10"/>
    <s v="RUS"/>
    <x v="23"/>
    <n v="13986.9951171875"/>
    <n v="5.8657193174896696"/>
    <n v="3.0760000000000001"/>
    <n v="143826130"/>
  </r>
  <r>
    <x v="10"/>
    <s v="RUS"/>
    <x v="24"/>
    <n v="14961.8974609375"/>
    <n v="8.4348641049672306"/>
    <n v="2.4300000000000002"/>
    <n v="143669648"/>
  </r>
  <r>
    <x v="11"/>
    <s v="ZAF"/>
    <x v="0"/>
    <n v="3217.8469344846712"/>
    <n v="5.3389591359982704"/>
    <n v="22.788"/>
    <n v="47159719"/>
  </r>
  <r>
    <x v="11"/>
    <s v="ZAF"/>
    <x v="1"/>
    <n v="2847.1519194590805"/>
    <n v="5.7018948304960801"/>
    <n v="22.652000000000001"/>
    <n v="47566800"/>
  </r>
  <r>
    <x v="11"/>
    <s v="ZAF"/>
    <x v="2"/>
    <n v="2688.2367603280636"/>
    <n v="9.4947137809959994"/>
    <n v="22.579000000000001"/>
    <n v="48019415"/>
  </r>
  <r>
    <x v="11"/>
    <s v="ZAF"/>
    <x v="3"/>
    <n v="4062.2175599378579"/>
    <n v="5.6794241406879902"/>
    <n v="22.678999999999998"/>
    <n v="48500348"/>
  </r>
  <r>
    <x v="11"/>
    <s v="ZAF"/>
    <x v="4"/>
    <n v="5221.4633373172119"/>
    <n v="-0.69203943785768596"/>
    <n v="22.567"/>
    <n v="48991421"/>
  </r>
  <r>
    <x v="11"/>
    <s v="ZAF"/>
    <x v="5"/>
    <n v="5836.876633251265"/>
    <n v="2.0628530822342701"/>
    <n v="22.472000000000001"/>
    <n v="49490033"/>
  </r>
  <r>
    <x v="11"/>
    <s v="ZAF"/>
    <x v="6"/>
    <n v="6077.3829338887572"/>
    <n v="3.2439076541922902"/>
    <n v="22.303999999999998"/>
    <n v="49998277"/>
  </r>
  <r>
    <x v="11"/>
    <s v="ZAF"/>
    <x v="7"/>
    <n v="6591.8553596056399"/>
    <n v="6.1778121480938699"/>
    <n v="22.26"/>
    <n v="50528584"/>
  </r>
  <r>
    <x v="11"/>
    <s v="ZAF"/>
    <x v="8"/>
    <n v="6184.7547432839883"/>
    <n v="9.9099845600546601"/>
    <n v="22.407"/>
    <n v="51114599"/>
  </r>
  <r>
    <x v="11"/>
    <s v="ZAF"/>
    <x v="9"/>
    <n v="6374.7056004299247"/>
    <n v="7.2380952380952603"/>
    <n v="23.523"/>
    <n v="51728516"/>
  </r>
  <r>
    <x v="11"/>
    <s v="ZAF"/>
    <x v="10"/>
    <n v="7973.4719577151691"/>
    <n v="4.0674955595026301"/>
    <n v="24.683"/>
    <n v="52344051"/>
  </r>
  <r>
    <x v="11"/>
    <s v="ZAF"/>
    <x v="11"/>
    <n v="8646.0557107163477"/>
    <n v="5.0008533879502002"/>
    <n v="24.638999999999999"/>
    <n v="52995205"/>
  </r>
  <r>
    <x v="11"/>
    <s v="ZAF"/>
    <x v="12"/>
    <n v="8076.9767847974063"/>
    <n v="5.73797139141739"/>
    <n v="24.727"/>
    <n v="53782567"/>
  </r>
  <r>
    <x v="11"/>
    <s v="ZAF"/>
    <x v="13"/>
    <n v="7331.6546738491925"/>
    <n v="5.7801691006917499"/>
    <n v="24.561"/>
    <n v="54678791"/>
  </r>
  <r>
    <x v="11"/>
    <s v="ZAF"/>
    <x v="14"/>
    <n v="6856.7313709252221"/>
    <n v="6.1328295305914899"/>
    <n v="24.89"/>
    <n v="55594838"/>
  </r>
  <r>
    <x v="11"/>
    <s v="ZAF"/>
    <x v="15"/>
    <n v="6112.2738248597416"/>
    <n v="4.5186909489250597"/>
    <n v="25.149000000000001"/>
    <n v="56723537"/>
  </r>
  <r>
    <x v="11"/>
    <s v="ZAF"/>
    <x v="16"/>
    <n v="5651.2058516574916"/>
    <n v="6.6029084239487101"/>
    <n v="26.536000000000001"/>
    <n v="57259551"/>
  </r>
  <r>
    <x v="11"/>
    <s v="ZAF"/>
    <x v="17"/>
    <n v="6618.335082557006"/>
    <n v="5.1861865552414903"/>
    <n v="27.035"/>
    <n v="57635162"/>
  </r>
  <r>
    <x v="11"/>
    <s v="ZAF"/>
    <x v="18"/>
    <n v="6914.1780318075989"/>
    <n v="4.5098726486738698"/>
    <n v="26.905999999999999"/>
    <n v="58613001"/>
  </r>
  <r>
    <x v="11"/>
    <s v="ZAF"/>
    <x v="19"/>
    <n v="6533.7112103285608"/>
    <n v="4.1028507546115502"/>
    <n v="28.468"/>
    <n v="59587885"/>
  </r>
  <r>
    <x v="11"/>
    <s v="ZAF"/>
    <x v="20"/>
    <n v="5580.6038307518866"/>
    <n v="3.23238831615113"/>
    <n v="29.216999999999999"/>
    <n v="60562381"/>
  </r>
  <r>
    <x v="11"/>
    <s v="ZAF"/>
    <x v="21"/>
    <n v="6828.7562459001674"/>
    <n v="4.6187454488713602"/>
    <n v="34.006999999999998"/>
    <n v="61502603"/>
  </r>
  <r>
    <x v="11"/>
    <s v="ZAF"/>
    <x v="22"/>
    <n v="6534.2486778339689"/>
    <n v="7.0398727254648099"/>
    <n v="33.268000000000001"/>
    <n v="62378410"/>
  </r>
  <r>
    <x v="11"/>
    <s v="ZAF"/>
    <x v="23"/>
    <n v="6034.2720896467317"/>
    <n v="6.0752438457965896"/>
    <n v="32.097999999999999"/>
    <n v="63212384"/>
  </r>
  <r>
    <x v="11"/>
    <s v="ZAF"/>
    <x v="24"/>
    <n v="6267.1868140930046"/>
    <n v="4.3611524651896199"/>
    <n v="32.279000000000003"/>
    <n v="64007187"/>
  </r>
  <r>
    <x v="12"/>
    <s v="ESP"/>
    <x v="0"/>
    <n v="14743.267103145477"/>
    <n v="3.4335165710398798"/>
    <n v="13.785"/>
    <n v="40567864"/>
  </r>
  <r>
    <x v="12"/>
    <s v="ESP"/>
    <x v="1"/>
    <n v="15368.233798443476"/>
    <n v="3.58983367750045"/>
    <n v="10.348000000000001"/>
    <n v="40850412"/>
  </r>
  <r>
    <x v="12"/>
    <s v="ESP"/>
    <x v="2"/>
    <n v="17111.068505894054"/>
    <n v="3.06545608883828"/>
    <n v="11.146000000000001"/>
    <n v="41431558"/>
  </r>
  <r>
    <x v="12"/>
    <s v="ESP"/>
    <x v="3"/>
    <n v="21522.01709902615"/>
    <n v="3.03913607750866"/>
    <n v="11.282999999999999"/>
    <n v="42187645"/>
  </r>
  <r>
    <x v="12"/>
    <s v="ESP"/>
    <x v="4"/>
    <n v="24925.02678445755"/>
    <n v="3.0394837875338401"/>
    <n v="11.09"/>
    <n v="42921895"/>
  </r>
  <r>
    <x v="12"/>
    <s v="ESP"/>
    <x v="5"/>
    <n v="26450.953013038234"/>
    <n v="3.3683142609489098"/>
    <n v="9.1460000000000008"/>
    <n v="43653155"/>
  </r>
  <r>
    <x v="12"/>
    <s v="ESP"/>
    <x v="6"/>
    <n v="28421.686527407033"/>
    <n v="3.5158102691812498"/>
    <n v="8.452"/>
    <n v="44397319"/>
  </r>
  <r>
    <x v="12"/>
    <s v="ESP"/>
    <x v="7"/>
    <n v="32652.015594701981"/>
    <n v="2.7865918101789302"/>
    <n v="8.2319999999999993"/>
    <n v="45226803"/>
  </r>
  <r>
    <x v="12"/>
    <s v="ESP"/>
    <x v="8"/>
    <n v="35603.248328071044"/>
    <n v="4.0756625165524998"/>
    <n v="11.254"/>
    <n v="45954106"/>
  </r>
  <r>
    <x v="12"/>
    <s v="ESP"/>
    <x v="9"/>
    <n v="32279.820847615145"/>
    <n v="-0.28793362792947802"/>
    <n v="17.856999999999999"/>
    <n v="46362946"/>
  </r>
  <r>
    <x v="12"/>
    <s v="ESP"/>
    <x v="10"/>
    <n v="30658.742228291194"/>
    <n v="1.79982772602942"/>
    <n v="19.86"/>
    <n v="46576897"/>
  </r>
  <r>
    <x v="12"/>
    <s v="ESP"/>
    <x v="11"/>
    <n v="31824.621913477695"/>
    <n v="3.1960942501808098"/>
    <n v="21.39"/>
    <n v="46742697"/>
  </r>
  <r>
    <x v="12"/>
    <s v="ESP"/>
    <x v="12"/>
    <n v="28456.44381514769"/>
    <n v="2.4459573503020202"/>
    <n v="24.789000000000001"/>
    <n v="46773055"/>
  </r>
  <r>
    <x v="12"/>
    <s v="ESP"/>
    <x v="13"/>
    <n v="29228.846559842044"/>
    <n v="1.40871603132886"/>
    <n v="26.094000000000001"/>
    <n v="46604197"/>
  </r>
  <r>
    <x v="12"/>
    <s v="ESP"/>
    <x v="14"/>
    <n v="29707.765509467015"/>
    <n v="-0.15092121765504801"/>
    <n v="24.440999999999999"/>
    <n v="46460733"/>
  </r>
  <r>
    <x v="12"/>
    <s v="ESP"/>
    <x v="15"/>
    <n v="25982.44161977755"/>
    <n v="-0.50032742014990395"/>
    <n v="22.056999999999999"/>
    <n v="46422303"/>
  </r>
  <r>
    <x v="12"/>
    <s v="ESP"/>
    <x v="16"/>
    <n v="26755.606114939812"/>
    <n v="-0.20272190336745399"/>
    <n v="19.635000000000002"/>
    <n v="46458139"/>
  </r>
  <r>
    <x v="12"/>
    <s v="ESP"/>
    <x v="17"/>
    <n v="28381.342559690624"/>
    <n v="1.95575728963107"/>
    <n v="17.224"/>
    <n v="46571232"/>
  </r>
  <r>
    <x v="12"/>
    <s v="ESP"/>
    <x v="18"/>
    <n v="30602.42128811132"/>
    <n v="1.6753982146528701"/>
    <n v="15.255000000000001"/>
    <n v="46782011"/>
  </r>
  <r>
    <x v="12"/>
    <s v="ESP"/>
    <x v="19"/>
    <n v="29786.524568900699"/>
    <n v="0.699267137814226"/>
    <n v="14.103999999999999"/>
    <n v="47118501"/>
  </r>
  <r>
    <x v="12"/>
    <s v="ESP"/>
    <x v="20"/>
    <n v="27233.942646160765"/>
    <n v="-0.32256461686194199"/>
    <n v="15.532"/>
    <n v="47359424"/>
  </r>
  <r>
    <x v="12"/>
    <s v="ESP"/>
    <x v="21"/>
    <n v="30799.477593777483"/>
    <n v="3.0930498953180501"/>
    <n v="14.914"/>
    <n v="47443821"/>
  </r>
  <r>
    <x v="12"/>
    <s v="ESP"/>
    <x v="22"/>
    <n v="30319.498719661635"/>
    <n v="8.3904194074889595"/>
    <n v="13.032999999999999"/>
    <n v="47786102"/>
  </r>
  <r>
    <x v="12"/>
    <s v="ESP"/>
    <x v="23"/>
    <n v="33493.222540911127"/>
    <n v="3.5324728766789799"/>
    <n v="12.179"/>
    <n v="48352528"/>
  </r>
  <r>
    <x v="12"/>
    <s v="ESP"/>
    <x v="24"/>
    <n v="35326.768306927806"/>
    <n v="2.7740698727587301"/>
    <n v="11.4"/>
    <n v="48848840"/>
  </r>
  <r>
    <x v="13"/>
    <s v="GBR"/>
    <x v="0"/>
    <n v="28383.876109499641"/>
    <n v="1.18295624210408"/>
    <n v="5.5579999999999998"/>
    <n v="58892514"/>
  </r>
  <r>
    <x v="13"/>
    <s v="GBR"/>
    <x v="1"/>
    <n v="28013.872963550777"/>
    <n v="1.5323496027241701"/>
    <n v="4.6959999999999997"/>
    <n v="59119673"/>
  </r>
  <r>
    <x v="13"/>
    <s v="GBR"/>
    <x v="2"/>
    <n v="30158.701780785788"/>
    <n v="1.52040245947455"/>
    <n v="5.0369999999999999"/>
    <n v="59370479"/>
  </r>
  <r>
    <x v="13"/>
    <s v="GBR"/>
    <x v="3"/>
    <n v="34556.772609590509"/>
    <n v="1.3765003854201301"/>
    <n v="4.8070000000000004"/>
    <n v="59647577"/>
  </r>
  <r>
    <x v="13"/>
    <s v="GBR"/>
    <x v="4"/>
    <n v="40504.411810392849"/>
    <n v="1.3903975668042099"/>
    <n v="4.5940000000000003"/>
    <n v="59987905"/>
  </r>
  <r>
    <x v="13"/>
    <s v="GBR"/>
    <x v="5"/>
    <n v="42240.246298754661"/>
    <n v="2.0891364902506901"/>
    <n v="4.8840000000000003"/>
    <n v="60401206"/>
  </r>
  <r>
    <x v="13"/>
    <s v="GBR"/>
    <x v="6"/>
    <n v="44695.161023423956"/>
    <n v="2.4556616643928999"/>
    <n v="5.4720000000000004"/>
    <n v="60846820"/>
  </r>
  <r>
    <x v="13"/>
    <s v="GBR"/>
    <x v="7"/>
    <n v="50629.07991728872"/>
    <n v="2.38656150773327"/>
    <n v="5.399"/>
    <n v="61322463"/>
  </r>
  <r>
    <x v="13"/>
    <s v="GBR"/>
    <x v="8"/>
    <n v="47652.403069188105"/>
    <n v="3.5214085634253798"/>
    <n v="5.7480000000000002"/>
    <n v="61806995"/>
  </r>
  <r>
    <x v="13"/>
    <s v="GBR"/>
    <x v="9"/>
    <n v="39009.371554782112"/>
    <n v="1.9617317356010899"/>
    <n v="7.6829999999999998"/>
    <n v="62276270"/>
  </r>
  <r>
    <x v="13"/>
    <s v="GBR"/>
    <x v="10"/>
    <n v="39778.322052856478"/>
    <n v="2.4926547246706501"/>
    <n v="7.9729999999999999"/>
    <n v="62766365"/>
  </r>
  <r>
    <x v="13"/>
    <s v="GBR"/>
    <x v="11"/>
    <n v="42295.927383532166"/>
    <n v="3.8561124468282002"/>
    <n v="8.1950000000000003"/>
    <n v="63258810"/>
  </r>
  <r>
    <x v="13"/>
    <s v="GBR"/>
    <x v="12"/>
    <n v="42688.326372837204"/>
    <n v="2.5732347965453002"/>
    <n v="8.2789999999999999"/>
    <n v="63711000"/>
  </r>
  <r>
    <x v="13"/>
    <s v="GBR"/>
    <x v="13"/>
    <n v="43607.663682737053"/>
    <n v="2.2916666666665901"/>
    <n v="7.7519999999999998"/>
    <n v="64138000"/>
  </r>
  <r>
    <x v="13"/>
    <s v="GBR"/>
    <x v="14"/>
    <n v="47746.981064552092"/>
    <n v="1.4511201629327899"/>
    <n v="6.3979999999999997"/>
    <n v="64619000"/>
  </r>
  <r>
    <x v="13"/>
    <s v="GBR"/>
    <x v="15"/>
    <n v="45256.04022705699"/>
    <n v="0.36804684232536"/>
    <n v="5.5519999999999996"/>
    <n v="65087000"/>
  </r>
  <r>
    <x v="13"/>
    <s v="GBR"/>
    <x v="16"/>
    <n v="41258.5374285695"/>
    <n v="1.00841736811409"/>
    <n v="4.9089999999999998"/>
    <n v="65606000"/>
  </r>
  <r>
    <x v="13"/>
    <s v="GBR"/>
    <x v="17"/>
    <n v="40918.052087094409"/>
    <n v="2.55775577557747"/>
    <n v="4.5010000000000003"/>
    <n v="65964000"/>
  </r>
  <r>
    <x v="13"/>
    <s v="GBR"/>
    <x v="18"/>
    <n v="43704.316229668715"/>
    <n v="2.2928399034593698"/>
    <n v="4.1449999999999996"/>
    <n v="66287000"/>
  </r>
  <r>
    <x v="13"/>
    <s v="GBR"/>
    <x v="19"/>
    <n v="43160.684397179866"/>
    <n v="1.73810460086512"/>
    <n v="3.657"/>
    <n v="66628000"/>
  </r>
  <r>
    <x v="13"/>
    <s v="GBR"/>
    <x v="20"/>
    <n v="40815.125536478736"/>
    <n v="0.98948670377249104"/>
    <n v="4.4720000000000004"/>
    <n v="66740000"/>
  </r>
  <r>
    <x v="13"/>
    <s v="GBR"/>
    <x v="21"/>
    <n v="47695.649152347447"/>
    <n v="2.51837109614213"/>
    <n v="4.8639999999999999"/>
    <n v="66978000"/>
  </r>
  <r>
    <x v="13"/>
    <s v="GBR"/>
    <x v="22"/>
    <n v="47034.779562147589"/>
    <n v="7.9220488314790201"/>
    <n v="3.7679999999999998"/>
    <n v="67636000"/>
  </r>
  <r>
    <x v="13"/>
    <s v="GBR"/>
    <x v="23"/>
    <n v="49919.689662158606"/>
    <n v="6.7939670679396196"/>
    <n v="4.0250000000000004"/>
    <n v="68526000"/>
  </r>
  <r>
    <x v="13"/>
    <s v="GBR"/>
    <x v="24"/>
    <n v="53341.31310942617"/>
    <n v="3.2715729463591998"/>
    <n v="4.3609999999999998"/>
    <n v="69281000"/>
  </r>
  <r>
    <x v="14"/>
    <s v="USA"/>
    <x v="0"/>
    <n v="36329.970259575079"/>
    <n v="3.3768572714992899"/>
    <n v="3.992"/>
    <n v="282162411"/>
  </r>
  <r>
    <x v="14"/>
    <s v="USA"/>
    <x v="1"/>
    <n v="37133.620397351704"/>
    <n v="2.8261711188540701"/>
    <n v="4.7309999999999999"/>
    <n v="284968955"/>
  </r>
  <r>
    <x v="14"/>
    <s v="USA"/>
    <x v="2"/>
    <n v="37997.742430024198"/>
    <n v="1.5860316265060099"/>
    <n v="5.7830000000000004"/>
    <n v="287625193"/>
  </r>
  <r>
    <x v="14"/>
    <s v="USA"/>
    <x v="3"/>
    <n v="39490.302390317607"/>
    <n v="2.27009497336114"/>
    <n v="5.9889999999999999"/>
    <n v="290107933"/>
  </r>
  <r>
    <x v="14"/>
    <s v="USA"/>
    <x v="4"/>
    <n v="41724.641198261379"/>
    <n v="2.67723669309171"/>
    <n v="5.5289999999999999"/>
    <n v="292805298"/>
  </r>
  <r>
    <x v="14"/>
    <s v="USA"/>
    <x v="5"/>
    <n v="44123.399647002567"/>
    <n v="3.3927468454955001"/>
    <n v="5.0839999999999996"/>
    <n v="295516599"/>
  </r>
  <r>
    <x v="14"/>
    <s v="USA"/>
    <x v="6"/>
    <n v="46301.987648551891"/>
    <n v="3.2259441007040399"/>
    <n v="4.6230000000000002"/>
    <n v="298379912"/>
  </r>
  <r>
    <x v="14"/>
    <s v="USA"/>
    <x v="7"/>
    <n v="48050.227412195047"/>
    <n v="2.8526724815013802"/>
    <n v="4.6219999999999999"/>
    <n v="301231207"/>
  </r>
  <r>
    <x v="14"/>
    <s v="USA"/>
    <x v="8"/>
    <n v="48570.05942696015"/>
    <n v="3.8391002966509902"/>
    <n v="5.7839999999999998"/>
    <n v="304093966"/>
  </r>
  <r>
    <x v="14"/>
    <s v="USA"/>
    <x v="9"/>
    <n v="47194.95008938721"/>
    <n v="-0.355546266299747"/>
    <n v="9.2539999999999996"/>
    <n v="306771529"/>
  </r>
  <r>
    <x v="14"/>
    <s v="USA"/>
    <x v="10"/>
    <n v="48642.631208821302"/>
    <n v="1.6400434423899"/>
    <n v="9.6329999999999991"/>
    <n v="309378227"/>
  </r>
  <r>
    <x v="14"/>
    <s v="USA"/>
    <x v="11"/>
    <n v="50024.8812320773"/>
    <n v="3.1568415686220002"/>
    <n v="8.9489999999999998"/>
    <n v="311839461"/>
  </r>
  <r>
    <x v="14"/>
    <s v="USA"/>
    <x v="12"/>
    <n v="51708.394061408188"/>
    <n v="2.0693372652606601"/>
    <n v="8.0690000000000008"/>
    <n v="314339099"/>
  </r>
  <r>
    <x v="14"/>
    <s v="USA"/>
    <x v="13"/>
    <n v="53297.386290159528"/>
    <n v="1.46483265562716"/>
    <n v="7.375"/>
    <n v="316726282"/>
  </r>
  <r>
    <x v="14"/>
    <s v="USA"/>
    <x v="14"/>
    <n v="55153.394018296698"/>
    <n v="1.62222297740817"/>
    <n v="6.1680000000000001"/>
    <n v="319257560"/>
  </r>
  <r>
    <x v="14"/>
    <s v="USA"/>
    <x v="15"/>
    <n v="56849.46979231594"/>
    <n v="0.11862713555245"/>
    <n v="5.28"/>
    <n v="321815121"/>
  </r>
  <r>
    <x v="14"/>
    <s v="USA"/>
    <x v="16"/>
    <n v="57976.628204291039"/>
    <n v="1.26158320570535"/>
    <n v="4.8689999999999998"/>
    <n v="324353340"/>
  </r>
  <r>
    <x v="14"/>
    <s v="USA"/>
    <x v="17"/>
    <n v="60047.719072830689"/>
    <n v="2.1301100036596101"/>
    <n v="4.3550000000000004"/>
    <n v="326608609"/>
  </r>
  <r>
    <x v="14"/>
    <s v="USA"/>
    <x v="18"/>
    <n v="62875.666138272842"/>
    <n v="2.4425832969281598"/>
    <n v="3.8959999999999999"/>
    <n v="328529577"/>
  </r>
  <r>
    <x v="14"/>
    <s v="USA"/>
    <x v="19"/>
    <n v="65227.95659110383"/>
    <n v="1.8122100752601999"/>
    <n v="3.669"/>
    <n v="330226227"/>
  </r>
  <r>
    <x v="14"/>
    <s v="USA"/>
    <x v="20"/>
    <n v="64465.297141574825"/>
    <n v="1.23358439630629"/>
    <n v="8.0549999999999997"/>
    <n v="331578104"/>
  </r>
  <r>
    <x v="14"/>
    <s v="USA"/>
    <x v="21"/>
    <n v="71441.231980594675"/>
    <n v="4.6978588636374203"/>
    <n v="5.3490000000000002"/>
    <n v="332100166"/>
  </r>
  <r>
    <x v="14"/>
    <s v="USA"/>
    <x v="22"/>
    <n v="78008.689581187704"/>
    <n v="8.0027998205212096"/>
    <n v="3.65"/>
    <n v="333996304"/>
  </r>
  <r>
    <x v="14"/>
    <s v="USA"/>
    <x v="23"/>
    <n v="82586.784770789425"/>
    <n v="4.1163383837448704"/>
    <n v="3.6379999999999999"/>
    <n v="336755052"/>
  </r>
  <r>
    <x v="14"/>
    <s v="USA"/>
    <x v="24"/>
    <n v="86169.664158191736"/>
    <n v="2.9495252048520699"/>
    <n v="4.0220000000000002"/>
    <n v="3400037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04ACAC-9E64-4D1A-8A1A-09463B596110}"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18" firstHeaderRow="0" firstDataRow="1" firstDataCol="1" rowPageCount="1" colPageCount="1"/>
  <pivotFields count="7">
    <pivotField axis="axisRow" showAll="0">
      <items count="16">
        <item x="0"/>
        <item x="1"/>
        <item x="2"/>
        <item x="3"/>
        <item x="4"/>
        <item x="5"/>
        <item x="6"/>
        <item x="7"/>
        <item x="8"/>
        <item x="9"/>
        <item x="10"/>
        <item x="11"/>
        <item x="12"/>
        <item x="13"/>
        <item x="14"/>
        <item t="default"/>
      </items>
    </pivotField>
    <pivotField showAll="0"/>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dataField="1" showAll="0"/>
    <pivotField dataField="1" showAll="0"/>
  </pivotFields>
  <rowFields count="1">
    <field x="0"/>
  </rowFields>
  <rowItems count="15">
    <i>
      <x/>
    </i>
    <i>
      <x v="1"/>
    </i>
    <i>
      <x v="2"/>
    </i>
    <i>
      <x v="3"/>
    </i>
    <i>
      <x v="4"/>
    </i>
    <i>
      <x v="5"/>
    </i>
    <i>
      <x v="6"/>
    </i>
    <i>
      <x v="7"/>
    </i>
    <i>
      <x v="8"/>
    </i>
    <i>
      <x v="9"/>
    </i>
    <i>
      <x v="10"/>
    </i>
    <i>
      <x v="11"/>
    </i>
    <i>
      <x v="12"/>
    </i>
    <i>
      <x v="13"/>
    </i>
    <i>
      <x v="14"/>
    </i>
  </rowItems>
  <colFields count="1">
    <field x="-2"/>
  </colFields>
  <colItems count="4">
    <i>
      <x/>
    </i>
    <i i="1">
      <x v="1"/>
    </i>
    <i i="2">
      <x v="2"/>
    </i>
    <i i="3">
      <x v="3"/>
    </i>
  </colItems>
  <pageFields count="1">
    <pageField fld="2" item="24" hier="-1"/>
  </pageFields>
  <dataFields count="4">
    <dataField name="GDP per Capita (US$)" fld="3" baseField="0" baseItem="0" numFmtId="4"/>
    <dataField name="Inflation (%)" fld="4" baseField="0" baseItem="0"/>
    <dataField name="Population" fld="6" baseField="0" baseItem="0" numFmtId="3"/>
    <dataField name="Unemployment (%)" fld="5" baseField="0" baseItem="0"/>
  </dataFields>
  <formats count="2">
    <format dxfId="1">
      <pivotArea outline="0" collapsedLevelsAreSubtotals="1" fieldPosition="0"/>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6B2757-C249-40C8-BE9D-D76962D74A40}" autoFormatId="16" applyNumberFormats="0" applyBorderFormats="0" applyFontFormats="0" applyPatternFormats="0" applyAlignmentFormats="0" applyWidthHeightFormats="0">
  <queryTableRefresh nextId="8">
    <queryTableFields count="7">
      <queryTableField id="1" name="Country Name" tableColumnId="1"/>
      <queryTableField id="2" name="Country Code" tableColumnId="2"/>
      <queryTableField id="3" name="Year" tableColumnId="3"/>
      <queryTableField id="4" name="GDP per capita (current US$)" tableColumnId="4"/>
      <queryTableField id="5" name="Inflation, consumer prices (annual %)" tableColumnId="5"/>
      <queryTableField id="6" name="Unemployment, total (% of total labor force) (modeled ILO estimate)" tableColumnId="6"/>
      <queryTableField id="7" name="Population, tot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25FAF5-95AB-4A56-A996-AFF3C1AED99B}" name="GlobalDevelopmentData_1" displayName="GlobalDevelopmentData_1" ref="A1:G376" tableType="queryTable" totalsRowShown="0">
  <autoFilter ref="A1:G376" xr:uid="{3C25FAF5-95AB-4A56-A996-AFF3C1AED99B}"/>
  <tableColumns count="7">
    <tableColumn id="1" xr3:uid="{B2888EF7-AB58-46D1-8AB4-73530428D66B}" uniqueName="1" name="Country Name" queryTableFieldId="1" dataDxfId="40"/>
    <tableColumn id="2" xr3:uid="{A3A2FB1B-D3AC-4B75-B38D-A03ECAC1BB38}" uniqueName="2" name="Country Code" queryTableFieldId="2" dataDxfId="39"/>
    <tableColumn id="3" xr3:uid="{000B8078-C3C5-4944-9292-DCAE72F78FBB}" uniqueName="3" name="Year" queryTableFieldId="3"/>
    <tableColumn id="4" xr3:uid="{E2972DC7-6B25-4AFC-AAEF-3EF82B0E7D2E}" uniqueName="4" name="GDP per capita (current US$)" queryTableFieldId="4"/>
    <tableColumn id="5" xr3:uid="{EFD63E03-F346-45B5-B629-4AB7AB567034}" uniqueName="5" name="Inflation, consumer prices (annual %)" queryTableFieldId="5"/>
    <tableColumn id="6" xr3:uid="{B78BE8A1-CBEC-4005-9393-5929B5F4CE37}" uniqueName="6" name="Unemployment, total (% of total labor force) (modeled ILO estimate)" queryTableFieldId="6"/>
    <tableColumn id="7" xr3:uid="{1253F4E6-0BD4-4D01-8F04-75C2669012A8}" uniqueName="7" name="Population, total" queryTableFieldId="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7287F-697E-4123-B978-1F1DDF0B2591}" name="Table1" displayName="Table1" ref="A1:AC61" totalsRowShown="0">
  <autoFilter ref="A1:AC61" xr:uid="{4707287F-697E-4123-B978-1F1DDF0B2591}"/>
  <tableColumns count="29">
    <tableColumn id="1" xr3:uid="{512F20E7-44BB-468D-B53C-7F79C1F70F7B}" name="Country Name"/>
    <tableColumn id="2" xr3:uid="{CD3F6BC6-BE83-4749-B2C6-4335331418BB}" name="Country Code" dataDxfId="38"/>
    <tableColumn id="3" xr3:uid="{E059C7AB-CD39-49F1-9236-BB1C3B27EE88}" name="Series Name"/>
    <tableColumn id="4" xr3:uid="{4D9AF2CF-E1EF-4068-96F7-B6E862FC0DBF}" name="Series Code" dataDxfId="37"/>
    <tableColumn id="5" xr3:uid="{08C4EE37-1F2B-4E13-BD56-E13172A5A303}" name="2000 [YR2000]"/>
    <tableColumn id="6" xr3:uid="{2B6E3664-31CE-4361-8033-E9D42E7A87E0}" name="2001 [YR2001]"/>
    <tableColumn id="7" xr3:uid="{B9C561CB-54D1-44E1-BB4C-799F8FA299AF}" name="2002 [YR2002]"/>
    <tableColumn id="8" xr3:uid="{99C884A4-79CD-43E9-8391-18889290E379}" name="2003 [YR2003]"/>
    <tableColumn id="9" xr3:uid="{FE955BF4-1003-4C13-ACFF-411F5111938F}" name="2004 [YR2004]"/>
    <tableColumn id="10" xr3:uid="{B572B0E7-6EF6-4E7E-B7E2-51E6435C6061}" name="2005 [YR2005]"/>
    <tableColumn id="11" xr3:uid="{EF494762-F427-4BF6-B3E7-DBC4926E13A2}" name="2006 [YR2006]"/>
    <tableColumn id="12" xr3:uid="{EBCE7B5F-EBAB-456A-9184-E51B045FBDC3}" name="2007 [YR2007]"/>
    <tableColumn id="13" xr3:uid="{F577E8BD-4E47-4BA4-9D94-AD5F20B86AEE}" name="2008 [YR2008]"/>
    <tableColumn id="14" xr3:uid="{686720A8-A57B-4C69-B63F-709D58C30396}" name="2009 [YR2009]"/>
    <tableColumn id="15" xr3:uid="{7F670F49-2C36-4DD5-A5C0-39942893B0B0}" name="2010 [YR2010]"/>
    <tableColumn id="16" xr3:uid="{80C7CFD2-1E15-46D8-A4D0-43D75D83FCC4}" name="2011 [YR2011]"/>
    <tableColumn id="17" xr3:uid="{5E3943D1-908C-4699-BFA5-B25E3F5734C0}" name="2012 [YR2012]"/>
    <tableColumn id="18" xr3:uid="{8F952AC1-BF78-416F-B91C-D2B72717D13B}" name="2013 [YR2013]"/>
    <tableColumn id="19" xr3:uid="{DD0E5E2F-1A6D-4DF3-99A4-F74A4D0D510B}" name="2014 [YR2014]"/>
    <tableColumn id="20" xr3:uid="{F8817CD3-04DB-4446-AF7D-638FA5E87784}" name="2015 [YR2015]"/>
    <tableColumn id="21" xr3:uid="{4264D573-BD0B-4A83-9BD1-FED9706E31F0}" name="2016 [YR2016]"/>
    <tableColumn id="22" xr3:uid="{E68C91EF-8CCC-4973-828B-CDB57E51DB8B}" name="2017 [YR2017]"/>
    <tableColumn id="23" xr3:uid="{C01944DA-EF60-4EDB-BF52-4B7D41FAEFB6}" name="2018 [YR2018]"/>
    <tableColumn id="24" xr3:uid="{EABE0A02-70AE-4BFD-9B0C-88CB4D1C9312}" name="2019 [YR2019]"/>
    <tableColumn id="25" xr3:uid="{052F4E2B-9EDA-47D6-9F45-A9A39CE8CAC2}" name="2020 [YR2020]"/>
    <tableColumn id="26" xr3:uid="{7E0B4CAC-8365-48A5-9D48-A1EC3F8E256A}" name="2021 [YR2021]"/>
    <tableColumn id="27" xr3:uid="{50889EEF-FB70-4B08-9292-8C853596E126}" name="2022 [YR2022]"/>
    <tableColumn id="28" xr3:uid="{2CF17D44-2666-412B-BD3F-1E155429751A}" name="2023 [YR2023]"/>
    <tableColumn id="29" xr3:uid="{9217A3A7-AADB-4401-82DD-B33CD32887E4}" name="2024 [YR20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C7F7F2-A5E9-43C3-A2AF-F4CDA89FC191}" name="GlobalDevelopmentData" displayName="GlobalDevelopmentData" ref="A1:G376" totalsRowShown="0">
  <autoFilter ref="A1:G376" xr:uid="{49C7F7F2-A5E9-43C3-A2AF-F4CDA89FC191}"/>
  <tableColumns count="7">
    <tableColumn id="1" xr3:uid="{4026BEE8-DE5A-4565-B50A-D4BF732D1E9D}" name="Country Name" dataDxfId="36"/>
    <tableColumn id="2" xr3:uid="{B681FD11-9B7B-4A07-A29E-96DDC4852831}" name="Country Code" dataDxfId="35"/>
    <tableColumn id="3" xr3:uid="{3A8DCEA5-EE34-4BD4-A851-56E213E379FC}" name="Year"/>
    <tableColumn id="4" xr3:uid="{8C96C986-88EB-4AA1-B6C8-D00436F55FDF}" name="GDP per capita (current US$)"/>
    <tableColumn id="5" xr3:uid="{EFE75072-F68B-4F53-8091-68D17066AE59}" name="Inflation, consumer prices (annual %)"/>
    <tableColumn id="6" xr3:uid="{FB09E4FA-B2C9-4E0C-9A72-8B9CEF193934}" name="Unemployment, total (% of total labor force) (modeled ILO estimate)"/>
    <tableColumn id="7" xr3:uid="{E835B38D-7710-478B-B062-2BF8CC88E84A}" name="Population, tot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68662C-50E7-42A2-B0BF-9EFCAA2CD44F}" name="Table2" displayName="Table2" ref="A3:F18" totalsRowShown="0" headerRowDxfId="34" headerRowBorderDxfId="33" tableBorderDxfId="32" totalsRowBorderDxfId="31">
  <autoFilter ref="A3:F18" xr:uid="{1C68662C-50E7-42A2-B0BF-9EFCAA2CD44F}"/>
  <tableColumns count="6">
    <tableColumn id="1" xr3:uid="{A96D0BBF-DA6F-45D9-B4D4-5FC8BE15615C}" name="Country" dataDxfId="30"/>
    <tableColumn id="2" xr3:uid="{D4A64E71-DAD9-4CF5-A817-46B28F815EE9}" name="Year" dataDxfId="29" dataCellStyle="Comma"/>
    <tableColumn id="3" xr3:uid="{CCEDC54D-60D5-44D4-A91F-51C875132E31}" name="GDP per Capita (US$)" dataDxfId="28" dataCellStyle="Comma">
      <calculatedColumnFormula>SUMIFS(Clean_Data!$D:$D,Clean_Data!$A:$A,$A4,Clean_Data!$C:$C,$B4)</calculatedColumnFormula>
    </tableColumn>
    <tableColumn id="4" xr3:uid="{7EF760A2-0ABC-434C-977F-7DF3C3BAE88A}" name="Inflation (%)" dataDxfId="27">
      <calculatedColumnFormula>SUMIFS(Clean_Data!$E:$E,Clean_Data!$A:$A,$A4,Clean_Data!$C:$C,$B4)</calculatedColumnFormula>
    </tableColumn>
    <tableColumn id="5" xr3:uid="{EEAB93BF-D73A-4647-9C39-1212D3F9374C}" name="Unemployment (%)" dataDxfId="26">
      <calculatedColumnFormula>SUMIFS(Clean_Data!$F:$F,Clean_Data!$A:$A,$A4,Clean_Data!$C:$C,$B4)</calculatedColumnFormula>
    </tableColumn>
    <tableColumn id="6" xr3:uid="{3BBCE01C-292A-4518-92CC-F9AE3A16435F}" name="Population" dataDxfId="25" dataCellStyle="Comma">
      <calculatedColumnFormula>SUMIFS(Clean_Data!$G:$G,Clean_Data!$A:$A,$A4,Clean_Data!$C:$C,$B4)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F819C9-6E2D-43AD-BB59-34BF82B94FEF}" name="Table3" displayName="Table3" ref="A3:F378" totalsRowShown="0">
  <autoFilter ref="A3:F378" xr:uid="{A1F819C9-6E2D-43AD-BB59-34BF82B94FEF}"/>
  <tableColumns count="6">
    <tableColumn id="1" xr3:uid="{1BD0D516-4E80-4DEC-8224-A2AB389DC661}" name="Country">
      <calculatedColumnFormula>Clean_Data!A2</calculatedColumnFormula>
    </tableColumn>
    <tableColumn id="2" xr3:uid="{1E7EB3E2-E0D6-486F-97C9-E6DEBDAE7262}" name="Year">
      <calculatedColumnFormula>Clean_Data!C2</calculatedColumnFormula>
    </tableColumn>
    <tableColumn id="3" xr3:uid="{E4349C9B-6EAE-4A6C-82C5-9C97CD991EEB}" name="GDP per Capita (US$)" dataDxfId="24">
      <calculatedColumnFormula>Clean_Data!D2</calculatedColumnFormula>
    </tableColumn>
    <tableColumn id="4" xr3:uid="{D9FEAE51-09B8-4A38-A98B-ED1A98CDD19E}" name="Inflation (%)" dataDxfId="23">
      <calculatedColumnFormula>Clean_Data!E2</calculatedColumnFormula>
    </tableColumn>
    <tableColumn id="5" xr3:uid="{11C994DB-52BA-42FE-99EF-788CABD06665}" name="Unemployment (%)" dataDxfId="22">
      <calculatedColumnFormula>Clean_Data!F2</calculatedColumnFormula>
    </tableColumn>
    <tableColumn id="6" xr3:uid="{C28A9A74-2385-4353-9D3F-8F4A3424660A}" name="Population" dataDxfId="21" dataCellStyle="Comma">
      <calculatedColumnFormula>Clean_Data!G2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E16890-A904-4C6F-B4BF-461D0CD26B18}" name="Inflation_Table" displayName="Inflation_Table" ref="O3:T28" totalsRowShown="0">
  <autoFilter ref="O3:T28" xr:uid="{C2E16890-A904-4C6F-B4BF-461D0CD26B18}"/>
  <tableColumns count="6">
    <tableColumn id="1" xr3:uid="{8F913058-27A0-4811-BB84-4BE5BB56D5A5}" name="Year" dataDxfId="20">
      <calculatedColumnFormula>O3+1</calculatedColumnFormula>
    </tableColumn>
    <tableColumn id="2" xr3:uid="{AAE98AA6-0E5C-41CE-93B3-9ADF709B8B5F}" name="India" dataDxfId="19">
      <calculatedColumnFormula>SUMIFS($D$4:$D$378,$A$4:$A$378,P$3,$B$4:$B$378,$O4)</calculatedColumnFormula>
    </tableColumn>
    <tableColumn id="3" xr3:uid="{02D026BC-9029-4B97-9D72-B79A3C702A6B}" name="China" dataDxfId="18">
      <calculatedColumnFormula>SUMIFS($D$4:$D$378,$A$4:$A$378,Q$3,$B$4:$B$378,$O4)</calculatedColumnFormula>
    </tableColumn>
    <tableColumn id="4" xr3:uid="{9AF91BC3-8D97-40AE-B7C1-77D13B6F84D8}" name="Germany" dataDxfId="17">
      <calculatedColumnFormula>SUMIFS($D$4:$D$378,$A$4:$A$378,R$3,$B$4:$B$378,$O4)</calculatedColumnFormula>
    </tableColumn>
    <tableColumn id="5" xr3:uid="{0C835E96-6B83-4C37-BF50-B288090AA335}" name="Russian Federation" dataDxfId="16">
      <calculatedColumnFormula>SUMIFS($D$4:$D$378,$A$4:$A$378,S$3,$B$4:$B$378,$O4)</calculatedColumnFormula>
    </tableColumn>
    <tableColumn id="6" xr3:uid="{6729947C-274A-4E4A-BA2E-7D61D56FD0D7}" name="United States" dataDxfId="15">
      <calculatedColumnFormula>SUMIFS($D$4:$D$378,$A$4:$A$378,T$3,$B$4:$B$378,$O4)</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1C8D8C-E707-442D-8535-BEA05767FFEB}" name="Unemployment_Table" displayName="Unemployment_Table" ref="O31:T56" totalsRowShown="0">
  <autoFilter ref="O31:T56" xr:uid="{4B1C8D8C-E707-442D-8535-BEA05767FFEB}"/>
  <tableColumns count="6">
    <tableColumn id="1" xr3:uid="{05214DA0-E04B-4FFC-8801-6A231699178D}" name="Year">
      <calculatedColumnFormula>O31+1</calculatedColumnFormula>
    </tableColumn>
    <tableColumn id="2" xr3:uid="{DFD6CE32-7C11-456B-A747-D9ED585A9440}" name="India" dataDxfId="14">
      <calculatedColumnFormula>SUMIFS($E$4:$E$378,$A$4:$A$378,P$31,$B$4:$B$378,$O32)</calculatedColumnFormula>
    </tableColumn>
    <tableColumn id="3" xr3:uid="{BDB69B3D-9ACB-421C-8854-209115B58961}" name="China">
      <calculatedColumnFormula>SUMIFS($E$4:$E$378,$A$4:$A$378,Q$31,$B$4:$B$378,$O32)</calculatedColumnFormula>
    </tableColumn>
    <tableColumn id="4" xr3:uid="{BC711F17-DFCC-441C-9E6A-2818B763FCAB}" name="Germany">
      <calculatedColumnFormula>SUMIFS($E$4:$E$378,$A$4:$A$378,R$31,$B$4:$B$378,$O32)</calculatedColumnFormula>
    </tableColumn>
    <tableColumn id="5" xr3:uid="{465A66BB-1E76-4FB5-A063-10E0B2143524}" name="Russian Federation">
      <calculatedColumnFormula>SUMIFS($E$4:$E$378,$A$4:$A$378,S$31,$B$4:$B$378,$O32)</calculatedColumnFormula>
    </tableColumn>
    <tableColumn id="6" xr3:uid="{C735235E-6985-4FDA-9400-C15D4F00FC2E}" name="United States" dataDxfId="13">
      <calculatedColumnFormula>SUMIFS($E$4:$E$378,$A$4:$A$378,T$31,$B$4:$B$378,$O32)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FB56F7-CE09-44FC-9891-EE07B1D40FDF}" name="Population_Table" displayName="Population_Table" ref="H31:M56" totalsRowShown="0" dataDxfId="12" dataCellStyle="Comma">
  <autoFilter ref="H31:M56" xr:uid="{18FB56F7-CE09-44FC-9891-EE07B1D40FDF}"/>
  <tableColumns count="6">
    <tableColumn id="1" xr3:uid="{25D785C1-F8C7-46CA-B53E-06BBE0CA5B3A}" name="Year">
      <calculatedColumnFormula>H31+1</calculatedColumnFormula>
    </tableColumn>
    <tableColumn id="2" xr3:uid="{E44A2783-B46C-4D19-BF01-5F33406B4F9F}" name="India" dataDxfId="11" dataCellStyle="Comma">
      <calculatedColumnFormula>SUMIFS($F$4:$F$378,$A$4:$A$378,I$31,$B$4:$B$378,$H32)</calculatedColumnFormula>
    </tableColumn>
    <tableColumn id="3" xr3:uid="{DA83EF8A-9FFB-49B7-85B3-C4CFCFB5E4B3}" name="China" dataDxfId="10" dataCellStyle="Comma">
      <calculatedColumnFormula>SUMIFS($F$4:$F$378,$A$4:$A$378,J$31,$B$4:$B$378,$H32)</calculatedColumnFormula>
    </tableColumn>
    <tableColumn id="4" xr3:uid="{F330DAA6-2445-4590-A076-27B07AA047D2}" name="Germany" dataDxfId="9" dataCellStyle="Comma">
      <calculatedColumnFormula>SUMIFS($F$4:$F$378,$A$4:$A$378,K$31,$B$4:$B$378,$H32)</calculatedColumnFormula>
    </tableColumn>
    <tableColumn id="5" xr3:uid="{7D5660EC-22A4-4DD6-BA17-463BB40374FF}" name="Russian Federation" dataDxfId="8" dataCellStyle="Comma">
      <calculatedColumnFormula>SUMIFS($F$4:$F$378,$A$4:$A$378,L$31,$B$4:$B$378,$H32)</calculatedColumnFormula>
    </tableColumn>
    <tableColumn id="6" xr3:uid="{B74FC753-C654-43CB-9510-8D238349E08B}" name="United States" dataDxfId="7" dataCellStyle="Comma">
      <calculatedColumnFormula>SUMIFS($F$4:$F$378,$A$4:$A$378,M$31,$B$4:$B$378,$H32)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35203B-B2B3-48E1-8C14-0ED221DC4A0E}" name="GDP_Table" displayName="GDP_Table" ref="H3:M28" totalsRowShown="0">
  <autoFilter ref="H3:M28" xr:uid="{5535203B-B2B3-48E1-8C14-0ED221DC4A0E}"/>
  <tableColumns count="6">
    <tableColumn id="1" xr3:uid="{C2576187-8064-44E5-A1BD-344979F55DD4}" name="Year">
      <calculatedColumnFormula>H3+1</calculatedColumnFormula>
    </tableColumn>
    <tableColumn id="2" xr3:uid="{6FA4E610-9C3C-4098-8F49-79EB95AE3120}" name="India" dataDxfId="6">
      <calculatedColumnFormula>SUMIFS($C$4:$C$378,$A$4:$A$378,I$3,$B$4:$B$378,$H4)</calculatedColumnFormula>
    </tableColumn>
    <tableColumn id="3" xr3:uid="{C0690D74-E664-4F46-A400-E6EF16984243}" name="China" dataDxfId="5">
      <calculatedColumnFormula>SUMIFS($C$4:$C$378,$A$4:$A$378,J$3,$B$4:$B$378,$H4)</calculatedColumnFormula>
    </tableColumn>
    <tableColumn id="4" xr3:uid="{41E930D4-6E50-4917-A501-B358A1596220}" name="Germany" dataDxfId="4">
      <calculatedColumnFormula>SUMIFS($C$4:$C$378,$A$4:$A$378,K$3,$B$4:$B$378,$H4)</calculatedColumnFormula>
    </tableColumn>
    <tableColumn id="5" xr3:uid="{3AEB0BF4-2A77-4523-80DE-CC46B04B910F}" name="Russian Federation" dataDxfId="3">
      <calculatedColumnFormula>SUMIFS($C$4:$C$378,$A$4:$A$378,L$3,$B$4:$B$378,$H4)</calculatedColumnFormula>
    </tableColumn>
    <tableColumn id="6" xr3:uid="{F6392259-94CC-412E-8208-81CB7731C28E}" name="United States" dataDxfId="2">
      <calculatedColumnFormula>SUMIFS($C$4:$C$378,$A$4:$A$378,M$3,$B$4:$B$378,$H4)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hyperlink" Target="https://databank.worldbank.org/source/world-development-indicators" TargetMode="External"/><Relationship Id="rId7" Type="http://schemas.openxmlformats.org/officeDocument/2006/relationships/hyperlink" Target="https://data.worldbank.org/indicator/SP.POP.TOTL" TargetMode="External"/><Relationship Id="rId2" Type="http://schemas.openxmlformats.org/officeDocument/2006/relationships/hyperlink" Target="https://data.worldbank.org/country" TargetMode="External"/><Relationship Id="rId1" Type="http://schemas.openxmlformats.org/officeDocument/2006/relationships/hyperlink" Target="https://data.worldbank.org/country" TargetMode="External"/><Relationship Id="rId6" Type="http://schemas.openxmlformats.org/officeDocument/2006/relationships/hyperlink" Target="https://data.worldbank.org/indicator/SL.UEM.TOTL.ZS" TargetMode="External"/><Relationship Id="rId5" Type="http://schemas.openxmlformats.org/officeDocument/2006/relationships/hyperlink" Target="https://data.worldbank.org/indicator/FP.CPI.TOTL.ZG" TargetMode="External"/><Relationship Id="rId4" Type="http://schemas.openxmlformats.org/officeDocument/2006/relationships/hyperlink" Target="https://data.worldbank.org/indicator/NY.GDP.PCAP.C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96CB-3B27-4DCE-B808-36ACA36CEA7D}">
  <dimension ref="A1:H14"/>
  <sheetViews>
    <sheetView workbookViewId="0">
      <selection activeCell="B12" sqref="B12"/>
    </sheetView>
  </sheetViews>
  <sheetFormatPr defaultRowHeight="14.4" x14ac:dyDescent="0.3"/>
  <cols>
    <col min="1" max="1" width="13.6640625" bestFit="1" customWidth="1"/>
    <col min="2" max="2" width="19" bestFit="1" customWidth="1"/>
    <col min="3" max="3" width="78.88671875" bestFit="1" customWidth="1"/>
    <col min="4" max="4" width="10.21875" bestFit="1" customWidth="1"/>
    <col min="7" max="7" width="10.5546875" customWidth="1"/>
  </cols>
  <sheetData>
    <row r="1" spans="1:8" ht="23.4" x14ac:dyDescent="0.45">
      <c r="A1" s="35" t="s">
        <v>133</v>
      </c>
      <c r="B1" s="35"/>
      <c r="C1" s="35"/>
      <c r="D1" s="24"/>
      <c r="E1" s="24"/>
      <c r="F1" s="24"/>
      <c r="G1" s="24"/>
      <c r="H1" s="24"/>
    </row>
    <row r="2" spans="1:8" ht="21" x14ac:dyDescent="0.4">
      <c r="A2" s="36" t="s">
        <v>134</v>
      </c>
      <c r="B2" s="36"/>
      <c r="C2" s="36"/>
      <c r="D2" s="25"/>
      <c r="E2" s="25"/>
      <c r="F2" s="25"/>
      <c r="G2" s="25"/>
      <c r="H2" s="25"/>
    </row>
    <row r="4" spans="1:8" x14ac:dyDescent="0.3">
      <c r="A4" s="34" t="s">
        <v>135</v>
      </c>
      <c r="B4" s="34"/>
      <c r="C4" s="26"/>
    </row>
    <row r="5" spans="1:8" x14ac:dyDescent="0.3">
      <c r="A5" s="27" t="s">
        <v>136</v>
      </c>
      <c r="B5" s="27" t="s">
        <v>147</v>
      </c>
      <c r="C5" s="27" t="s">
        <v>137</v>
      </c>
    </row>
    <row r="6" spans="1:8" x14ac:dyDescent="0.3">
      <c r="A6" t="s">
        <v>157</v>
      </c>
      <c r="B6" s="28" t="s">
        <v>138</v>
      </c>
      <c r="C6" t="s">
        <v>149</v>
      </c>
    </row>
    <row r="7" spans="1:8" x14ac:dyDescent="0.3">
      <c r="A7" t="s">
        <v>157</v>
      </c>
      <c r="B7" s="28" t="s">
        <v>145</v>
      </c>
      <c r="C7" t="s">
        <v>150</v>
      </c>
    </row>
    <row r="8" spans="1:8" x14ac:dyDescent="0.3">
      <c r="A8" t="s">
        <v>158</v>
      </c>
      <c r="B8" s="28" t="s">
        <v>146</v>
      </c>
      <c r="C8" t="s">
        <v>151</v>
      </c>
    </row>
    <row r="9" spans="1:8" x14ac:dyDescent="0.3">
      <c r="A9" t="s">
        <v>159</v>
      </c>
      <c r="B9" s="28" t="s">
        <v>139</v>
      </c>
      <c r="C9" t="s">
        <v>152</v>
      </c>
    </row>
    <row r="10" spans="1:8" x14ac:dyDescent="0.3">
      <c r="A10" t="s">
        <v>140</v>
      </c>
      <c r="B10" s="28" t="s">
        <v>140</v>
      </c>
      <c r="C10" t="s">
        <v>153</v>
      </c>
    </row>
    <row r="11" spans="1:8" x14ac:dyDescent="0.3">
      <c r="A11" t="s">
        <v>140</v>
      </c>
      <c r="B11" s="28" t="s">
        <v>141</v>
      </c>
      <c r="C11" t="s">
        <v>148</v>
      </c>
    </row>
    <row r="12" spans="1:8" x14ac:dyDescent="0.3">
      <c r="A12" t="s">
        <v>160</v>
      </c>
      <c r="B12" s="28" t="s">
        <v>142</v>
      </c>
      <c r="C12" t="s">
        <v>154</v>
      </c>
    </row>
    <row r="13" spans="1:8" x14ac:dyDescent="0.3">
      <c r="A13" t="s">
        <v>140</v>
      </c>
      <c r="B13" s="28" t="s">
        <v>143</v>
      </c>
      <c r="C13" t="s">
        <v>156</v>
      </c>
    </row>
    <row r="14" spans="1:8" x14ac:dyDescent="0.3">
      <c r="A14" t="s">
        <v>161</v>
      </c>
      <c r="B14" s="28" t="s">
        <v>144</v>
      </c>
      <c r="C14" t="s">
        <v>155</v>
      </c>
    </row>
  </sheetData>
  <mergeCells count="3">
    <mergeCell ref="A4:B4"/>
    <mergeCell ref="A1:C1"/>
    <mergeCell ref="A2:C2"/>
  </mergeCells>
  <hyperlinks>
    <hyperlink ref="B6" location="WorldBankRaw!A1" display="WorldBankRaw" xr:uid="{6D9352BA-F39F-46DF-A45E-C630C7769542}"/>
    <hyperlink ref="B7" location="Data!A1" display="Data" xr:uid="{B62029EC-5357-45BD-8ABA-632912E11619}"/>
    <hyperlink ref="B8" location="'Series - Metadata'!A1" display="Series - Metadata" xr:uid="{6336B0AE-7B26-4D24-9BA1-17C7EC28CC4F}"/>
    <hyperlink ref="B9" location="Clean_Data!A1" display="Clean_Data" xr:uid="{E6F59BE8-E7CB-484E-B52A-422D940D7435}"/>
    <hyperlink ref="B10" location="Analysis!A1" display="Analysis" xr:uid="{63E10F54-7516-45C5-A087-050A53591317}"/>
    <hyperlink ref="B11" location="Historical_Analysis!A1" display="Historical_Analysis" xr:uid="{ED70154D-960B-4F73-89F1-BC06632FEE63}"/>
    <hyperlink ref="B12" location="Dashboard!A1" display="Dashboard" xr:uid="{660C58E3-5221-4564-B6DA-93AB91DDAB49}"/>
    <hyperlink ref="B13" location="Pivot_Table!A1" display="Pivot_Table" xr:uid="{BABA6826-C568-45B5-8886-DEF61518CC6A}"/>
    <hyperlink ref="B14" location="Data_Dictionary!A1" display="Data_Dictionary" xr:uid="{AC47ADE5-E02E-4034-83CF-077816CA9E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596F-8E38-45B3-BF2C-AD17DD183602}">
  <dimension ref="A1:G376"/>
  <sheetViews>
    <sheetView zoomScale="55" zoomScaleNormal="55" workbookViewId="0"/>
  </sheetViews>
  <sheetFormatPr defaultRowHeight="14.4" x14ac:dyDescent="0.3"/>
  <cols>
    <col min="1" max="1" width="21.5546875" bestFit="1" customWidth="1"/>
    <col min="2" max="2" width="21.109375" bestFit="1" customWidth="1"/>
    <col min="3" max="3" width="11" bestFit="1" customWidth="1"/>
    <col min="4" max="4" width="39.109375" bestFit="1" customWidth="1"/>
    <col min="5" max="5" width="48.44140625" bestFit="1" customWidth="1"/>
    <col min="6" max="6" width="80.88671875" bestFit="1" customWidth="1"/>
    <col min="7" max="7" width="24.5546875" bestFit="1" customWidth="1"/>
  </cols>
  <sheetData>
    <row r="1" spans="1:7" x14ac:dyDescent="0.3">
      <c r="A1" t="s">
        <v>40</v>
      </c>
      <c r="B1" t="s">
        <v>16</v>
      </c>
      <c r="C1" t="s">
        <v>124</v>
      </c>
      <c r="D1" t="s">
        <v>73</v>
      </c>
      <c r="E1" t="s">
        <v>39</v>
      </c>
      <c r="F1" t="s">
        <v>75</v>
      </c>
      <c r="G1" t="s">
        <v>64</v>
      </c>
    </row>
    <row r="2" spans="1:7" x14ac:dyDescent="0.3">
      <c r="A2" t="s">
        <v>118</v>
      </c>
      <c r="B2" t="s">
        <v>101</v>
      </c>
      <c r="C2">
        <v>2000</v>
      </c>
      <c r="D2">
        <v>3766.5481146603156</v>
      </c>
      <c r="E2">
        <v>7.0441410594726497</v>
      </c>
      <c r="F2">
        <v>10.888999999999999</v>
      </c>
      <c r="G2">
        <v>174018282</v>
      </c>
    </row>
    <row r="3" spans="1:7" x14ac:dyDescent="0.3">
      <c r="A3" t="s">
        <v>118</v>
      </c>
      <c r="B3" t="s">
        <v>101</v>
      </c>
      <c r="C3">
        <v>2001</v>
      </c>
      <c r="D3">
        <v>3176.2893574752361</v>
      </c>
      <c r="E3">
        <v>6.8403590248752302</v>
      </c>
      <c r="F3">
        <v>10.648999999999999</v>
      </c>
      <c r="G3">
        <v>176301203</v>
      </c>
    </row>
    <row r="4" spans="1:7" x14ac:dyDescent="0.3">
      <c r="A4" t="s">
        <v>118</v>
      </c>
      <c r="B4" t="s">
        <v>101</v>
      </c>
      <c r="C4">
        <v>2002</v>
      </c>
      <c r="D4">
        <v>2855.9401888576867</v>
      </c>
      <c r="E4">
        <v>8.4501643770833095</v>
      </c>
      <c r="F4">
        <v>10.641</v>
      </c>
      <c r="G4">
        <v>178503484</v>
      </c>
    </row>
    <row r="5" spans="1:7" x14ac:dyDescent="0.3">
      <c r="A5" t="s">
        <v>118</v>
      </c>
      <c r="B5" t="s">
        <v>101</v>
      </c>
      <c r="C5">
        <v>2003</v>
      </c>
      <c r="D5">
        <v>3090.6070097454958</v>
      </c>
      <c r="E5">
        <v>14.714919722814701</v>
      </c>
      <c r="F5">
        <v>11.167999999999999</v>
      </c>
      <c r="G5">
        <v>180622688</v>
      </c>
    </row>
    <row r="6" spans="1:7" x14ac:dyDescent="0.3">
      <c r="A6" t="s">
        <v>118</v>
      </c>
      <c r="B6" t="s">
        <v>101</v>
      </c>
      <c r="C6">
        <v>2004</v>
      </c>
      <c r="D6">
        <v>3663.8231880639996</v>
      </c>
      <c r="E6">
        <v>6.5971850998596304</v>
      </c>
      <c r="F6">
        <v>10.071999999999999</v>
      </c>
      <c r="G6">
        <v>182675143</v>
      </c>
    </row>
    <row r="7" spans="1:7" x14ac:dyDescent="0.3">
      <c r="A7" t="s">
        <v>118</v>
      </c>
      <c r="B7" t="s">
        <v>101</v>
      </c>
      <c r="C7">
        <v>2005</v>
      </c>
      <c r="D7">
        <v>4827.7817307471414</v>
      </c>
      <c r="E7">
        <v>6.86953720898964</v>
      </c>
      <c r="F7">
        <v>10.551</v>
      </c>
      <c r="G7">
        <v>184688101</v>
      </c>
    </row>
    <row r="8" spans="1:7" x14ac:dyDescent="0.3">
      <c r="A8" t="s">
        <v>118</v>
      </c>
      <c r="B8" t="s">
        <v>101</v>
      </c>
      <c r="C8">
        <v>2006</v>
      </c>
      <c r="D8">
        <v>5934.144709249681</v>
      </c>
      <c r="E8">
        <v>4.1835681289690898</v>
      </c>
      <c r="F8">
        <v>9.6920000000000002</v>
      </c>
      <c r="G8">
        <v>186653106</v>
      </c>
    </row>
    <row r="9" spans="1:7" x14ac:dyDescent="0.3">
      <c r="A9" t="s">
        <v>118</v>
      </c>
      <c r="B9" t="s">
        <v>101</v>
      </c>
      <c r="C9">
        <v>2007</v>
      </c>
      <c r="D9">
        <v>7409.6913067347305</v>
      </c>
      <c r="E9">
        <v>3.6412729910265198</v>
      </c>
      <c r="F9">
        <v>9.2799999999999994</v>
      </c>
      <c r="G9">
        <v>188552320</v>
      </c>
    </row>
    <row r="10" spans="1:7" x14ac:dyDescent="0.3">
      <c r="A10" t="s">
        <v>118</v>
      </c>
      <c r="B10" t="s">
        <v>101</v>
      </c>
      <c r="C10">
        <v>2008</v>
      </c>
      <c r="D10">
        <v>8908.3317653864833</v>
      </c>
      <c r="E10">
        <v>5.6785939028416799</v>
      </c>
      <c r="F10">
        <v>8.2680000000000007</v>
      </c>
      <c r="G10">
        <v>190367302</v>
      </c>
    </row>
    <row r="11" spans="1:7" x14ac:dyDescent="0.3">
      <c r="A11" t="s">
        <v>118</v>
      </c>
      <c r="B11" t="s">
        <v>101</v>
      </c>
      <c r="C11">
        <v>2009</v>
      </c>
      <c r="D11">
        <v>8678.6592244675994</v>
      </c>
      <c r="E11">
        <v>4.88803479876798</v>
      </c>
      <c r="F11">
        <v>9.4190000000000005</v>
      </c>
      <c r="G11">
        <v>192079951</v>
      </c>
    </row>
    <row r="12" spans="1:7" x14ac:dyDescent="0.3">
      <c r="A12" t="s">
        <v>118</v>
      </c>
      <c r="B12" t="s">
        <v>101</v>
      </c>
      <c r="C12">
        <v>2010</v>
      </c>
      <c r="D12">
        <v>11403.282127874663</v>
      </c>
      <c r="E12">
        <v>5.0387269010807403</v>
      </c>
      <c r="F12">
        <v>8.42</v>
      </c>
      <c r="G12">
        <v>193701929</v>
      </c>
    </row>
    <row r="13" spans="1:7" x14ac:dyDescent="0.3">
      <c r="A13" t="s">
        <v>118</v>
      </c>
      <c r="B13" t="s">
        <v>101</v>
      </c>
      <c r="C13">
        <v>2011</v>
      </c>
      <c r="D13">
        <v>13396.624356298567</v>
      </c>
      <c r="E13">
        <v>6.6364496221309004</v>
      </c>
      <c r="F13">
        <v>7.5780000000000003</v>
      </c>
      <c r="G13">
        <v>195284734</v>
      </c>
    </row>
    <row r="14" spans="1:7" x14ac:dyDescent="0.3">
      <c r="A14" t="s">
        <v>118</v>
      </c>
      <c r="B14" t="s">
        <v>101</v>
      </c>
      <c r="C14">
        <v>2012</v>
      </c>
      <c r="D14">
        <v>12521.721351996648</v>
      </c>
      <c r="E14">
        <v>5.4034991403699699</v>
      </c>
      <c r="F14">
        <v>7.2510000000000003</v>
      </c>
      <c r="G14">
        <v>196876111</v>
      </c>
    </row>
    <row r="15" spans="1:7" x14ac:dyDescent="0.3">
      <c r="A15" t="s">
        <v>118</v>
      </c>
      <c r="B15" t="s">
        <v>101</v>
      </c>
      <c r="C15">
        <v>2013</v>
      </c>
      <c r="D15">
        <v>12458.891213881299</v>
      </c>
      <c r="E15">
        <v>6.2043106664009997</v>
      </c>
      <c r="F15">
        <v>7.0709999999999997</v>
      </c>
      <c r="G15">
        <v>198478299</v>
      </c>
    </row>
    <row r="16" spans="1:7" x14ac:dyDescent="0.3">
      <c r="A16" t="s">
        <v>118</v>
      </c>
      <c r="B16" t="s">
        <v>101</v>
      </c>
      <c r="C16">
        <v>2014</v>
      </c>
      <c r="D16">
        <v>12274.993968936304</v>
      </c>
      <c r="E16">
        <v>6.3290401551613797</v>
      </c>
      <c r="F16">
        <v>6.7549999999999999</v>
      </c>
      <c r="G16">
        <v>200085127</v>
      </c>
    </row>
    <row r="17" spans="1:7" x14ac:dyDescent="0.3">
      <c r="A17" t="s">
        <v>118</v>
      </c>
      <c r="B17" t="s">
        <v>101</v>
      </c>
      <c r="C17">
        <v>2015</v>
      </c>
      <c r="D17">
        <v>8936.1966171211279</v>
      </c>
      <c r="E17">
        <v>9.0299010241613598</v>
      </c>
      <c r="F17">
        <v>8.5380000000000003</v>
      </c>
      <c r="G17">
        <v>201675532</v>
      </c>
    </row>
    <row r="18" spans="1:7" x14ac:dyDescent="0.3">
      <c r="A18" t="s">
        <v>118</v>
      </c>
      <c r="B18" t="s">
        <v>101</v>
      </c>
      <c r="C18">
        <v>2016</v>
      </c>
      <c r="D18">
        <v>8836.2865273565749</v>
      </c>
      <c r="E18">
        <v>8.7391435232939294</v>
      </c>
      <c r="F18">
        <v>11.58</v>
      </c>
      <c r="G18">
        <v>203218114</v>
      </c>
    </row>
    <row r="19" spans="1:7" x14ac:dyDescent="0.3">
      <c r="A19" t="s">
        <v>118</v>
      </c>
      <c r="B19" t="s">
        <v>101</v>
      </c>
      <c r="C19">
        <v>2017</v>
      </c>
      <c r="D19">
        <v>10080.509281930525</v>
      </c>
      <c r="E19">
        <v>3.4463733503266898</v>
      </c>
      <c r="F19">
        <v>12.792</v>
      </c>
      <c r="G19">
        <v>204703445</v>
      </c>
    </row>
    <row r="20" spans="1:7" x14ac:dyDescent="0.3">
      <c r="A20" t="s">
        <v>118</v>
      </c>
      <c r="B20" t="s">
        <v>101</v>
      </c>
      <c r="C20">
        <v>2018</v>
      </c>
      <c r="D20">
        <v>9300.6616492321864</v>
      </c>
      <c r="E20">
        <v>3.6648502837672798</v>
      </c>
      <c r="F20">
        <v>12.329000000000001</v>
      </c>
      <c r="G20">
        <v>206107261</v>
      </c>
    </row>
    <row r="21" spans="1:7" x14ac:dyDescent="0.3">
      <c r="A21" t="s">
        <v>118</v>
      </c>
      <c r="B21" t="s">
        <v>101</v>
      </c>
      <c r="C21">
        <v>2019</v>
      </c>
      <c r="D21">
        <v>9029.8332668107323</v>
      </c>
      <c r="E21">
        <v>3.7329762121689298</v>
      </c>
      <c r="F21">
        <v>11.936</v>
      </c>
      <c r="G21">
        <v>207455459</v>
      </c>
    </row>
    <row r="22" spans="1:7" x14ac:dyDescent="0.3">
      <c r="A22" t="s">
        <v>118</v>
      </c>
      <c r="B22" t="s">
        <v>101</v>
      </c>
      <c r="C22">
        <v>2020</v>
      </c>
      <c r="D22">
        <v>7074.1937833764405</v>
      </c>
      <c r="E22">
        <v>3.2117680380337599</v>
      </c>
      <c r="F22">
        <v>13.696999999999999</v>
      </c>
      <c r="G22">
        <v>208660842</v>
      </c>
    </row>
    <row r="23" spans="1:7" x14ac:dyDescent="0.3">
      <c r="A23" t="s">
        <v>118</v>
      </c>
      <c r="B23" t="s">
        <v>101</v>
      </c>
      <c r="C23">
        <v>2021</v>
      </c>
      <c r="D23">
        <v>7972.5366498645981</v>
      </c>
      <c r="E23">
        <v>8.3016597558567309</v>
      </c>
      <c r="F23">
        <v>13.157999999999999</v>
      </c>
      <c r="G23">
        <v>209550294</v>
      </c>
    </row>
    <row r="24" spans="1:7" x14ac:dyDescent="0.3">
      <c r="A24" t="s">
        <v>118</v>
      </c>
      <c r="B24" t="s">
        <v>101</v>
      </c>
      <c r="C24">
        <v>2022</v>
      </c>
      <c r="D24">
        <v>9281.33334441234</v>
      </c>
      <c r="E24">
        <v>9.2801060895687204</v>
      </c>
      <c r="F24">
        <v>9.2309999999999999</v>
      </c>
      <c r="G24">
        <v>210306415</v>
      </c>
    </row>
    <row r="25" spans="1:7" x14ac:dyDescent="0.3">
      <c r="A25" t="s">
        <v>118</v>
      </c>
      <c r="B25" t="s">
        <v>101</v>
      </c>
      <c r="C25">
        <v>2023</v>
      </c>
      <c r="D25">
        <v>10377.589279255684</v>
      </c>
      <c r="E25">
        <v>4.5935628228320304</v>
      </c>
      <c r="F25">
        <v>7.9470000000000001</v>
      </c>
      <c r="G25">
        <v>211140729</v>
      </c>
    </row>
    <row r="26" spans="1:7" x14ac:dyDescent="0.3">
      <c r="A26" t="s">
        <v>118</v>
      </c>
      <c r="B26" t="s">
        <v>101</v>
      </c>
      <c r="C26">
        <v>2024</v>
      </c>
      <c r="D26">
        <v>10310.548697369348</v>
      </c>
      <c r="E26">
        <v>4.3674640765233601</v>
      </c>
      <c r="F26">
        <v>6.8010000000000002</v>
      </c>
      <c r="G26">
        <v>211998573</v>
      </c>
    </row>
    <row r="27" spans="1:7" x14ac:dyDescent="0.3">
      <c r="A27" t="s">
        <v>86</v>
      </c>
      <c r="B27" t="s">
        <v>92</v>
      </c>
      <c r="C27">
        <v>2000</v>
      </c>
      <c r="D27">
        <v>969.19951369628666</v>
      </c>
      <c r="E27">
        <v>0.34781122686458599</v>
      </c>
      <c r="F27">
        <v>3.26</v>
      </c>
      <c r="G27">
        <v>1262645000</v>
      </c>
    </row>
    <row r="28" spans="1:7" x14ac:dyDescent="0.3">
      <c r="A28" t="s">
        <v>86</v>
      </c>
      <c r="B28" t="s">
        <v>92</v>
      </c>
      <c r="C28">
        <v>2001</v>
      </c>
      <c r="D28">
        <v>1065.4059757451932</v>
      </c>
      <c r="E28">
        <v>0.71912560912011303</v>
      </c>
      <c r="F28">
        <v>3.8</v>
      </c>
      <c r="G28">
        <v>1271850000</v>
      </c>
    </row>
    <row r="29" spans="1:7" x14ac:dyDescent="0.3">
      <c r="A29" t="s">
        <v>86</v>
      </c>
      <c r="B29" t="s">
        <v>92</v>
      </c>
      <c r="C29">
        <v>2002</v>
      </c>
      <c r="D29">
        <v>1163.5595767342556</v>
      </c>
      <c r="E29">
        <v>-0.73197090235024298</v>
      </c>
      <c r="F29">
        <v>4.24</v>
      </c>
      <c r="G29">
        <v>1280400000</v>
      </c>
    </row>
    <row r="30" spans="1:7" x14ac:dyDescent="0.3">
      <c r="A30" t="s">
        <v>86</v>
      </c>
      <c r="B30" t="s">
        <v>92</v>
      </c>
      <c r="C30">
        <v>2003</v>
      </c>
      <c r="D30">
        <v>1306.9724540855702</v>
      </c>
      <c r="E30">
        <v>1.1276034872963701</v>
      </c>
      <c r="F30">
        <v>4.58</v>
      </c>
      <c r="G30">
        <v>1288400000</v>
      </c>
    </row>
    <row r="31" spans="1:7" x14ac:dyDescent="0.3">
      <c r="A31" t="s">
        <v>86</v>
      </c>
      <c r="B31" t="s">
        <v>92</v>
      </c>
      <c r="C31">
        <v>2004</v>
      </c>
      <c r="D31">
        <v>1530.9272621572329</v>
      </c>
      <c r="E31">
        <v>3.82463743108159</v>
      </c>
      <c r="F31">
        <v>4.49</v>
      </c>
      <c r="G31">
        <v>1296075000</v>
      </c>
    </row>
    <row r="32" spans="1:7" x14ac:dyDescent="0.3">
      <c r="A32" t="s">
        <v>86</v>
      </c>
      <c r="B32" t="s">
        <v>92</v>
      </c>
      <c r="C32">
        <v>2005</v>
      </c>
      <c r="D32">
        <v>1777.644968284641</v>
      </c>
      <c r="E32">
        <v>1.7764140766756999</v>
      </c>
      <c r="F32">
        <v>4.5199999999999996</v>
      </c>
      <c r="G32">
        <v>1303720000</v>
      </c>
    </row>
    <row r="33" spans="1:7" x14ac:dyDescent="0.3">
      <c r="A33" t="s">
        <v>86</v>
      </c>
      <c r="B33" t="s">
        <v>92</v>
      </c>
      <c r="C33">
        <v>2006</v>
      </c>
      <c r="D33">
        <v>2129.2569699961318</v>
      </c>
      <c r="E33">
        <v>1.6494309945585901</v>
      </c>
      <c r="F33">
        <v>4.43</v>
      </c>
      <c r="G33">
        <v>1311020000</v>
      </c>
    </row>
    <row r="34" spans="1:7" x14ac:dyDescent="0.3">
      <c r="A34" t="s">
        <v>86</v>
      </c>
      <c r="B34" t="s">
        <v>92</v>
      </c>
      <c r="C34">
        <v>2007</v>
      </c>
      <c r="D34">
        <v>2734.7270987769271</v>
      </c>
      <c r="E34">
        <v>4.8167676737883403</v>
      </c>
      <c r="F34">
        <v>4.3499999999999996</v>
      </c>
      <c r="G34">
        <v>1317885000</v>
      </c>
    </row>
    <row r="35" spans="1:7" x14ac:dyDescent="0.3">
      <c r="A35" t="s">
        <v>86</v>
      </c>
      <c r="B35" t="s">
        <v>92</v>
      </c>
      <c r="C35">
        <v>2008</v>
      </c>
      <c r="D35">
        <v>3523.4430206521301</v>
      </c>
      <c r="E35">
        <v>5.9252513704109102</v>
      </c>
      <c r="F35">
        <v>4.59</v>
      </c>
      <c r="G35">
        <v>1324655000</v>
      </c>
    </row>
    <row r="36" spans="1:7" x14ac:dyDescent="0.3">
      <c r="A36" t="s">
        <v>86</v>
      </c>
      <c r="B36" t="s">
        <v>92</v>
      </c>
      <c r="C36">
        <v>2009</v>
      </c>
      <c r="D36">
        <v>3898.2445915881062</v>
      </c>
      <c r="E36">
        <v>-0.72816525093289797</v>
      </c>
      <c r="F36">
        <v>4.72</v>
      </c>
      <c r="G36">
        <v>1331260000</v>
      </c>
    </row>
    <row r="37" spans="1:7" x14ac:dyDescent="0.3">
      <c r="A37" t="s">
        <v>86</v>
      </c>
      <c r="B37" t="s">
        <v>92</v>
      </c>
      <c r="C37">
        <v>2010</v>
      </c>
      <c r="D37">
        <v>4629.2455171007732</v>
      </c>
      <c r="E37">
        <v>3.1753247526919899</v>
      </c>
      <c r="F37">
        <v>4.53</v>
      </c>
      <c r="G37">
        <v>1337705000</v>
      </c>
    </row>
    <row r="38" spans="1:7" x14ac:dyDescent="0.3">
      <c r="A38" t="s">
        <v>86</v>
      </c>
      <c r="B38" t="s">
        <v>92</v>
      </c>
      <c r="C38">
        <v>2011</v>
      </c>
      <c r="D38">
        <v>5703.7602797334557</v>
      </c>
      <c r="E38">
        <v>5.5538989225749296</v>
      </c>
      <c r="F38">
        <v>4.55</v>
      </c>
      <c r="G38">
        <v>1345035000</v>
      </c>
    </row>
    <row r="39" spans="1:7" x14ac:dyDescent="0.3">
      <c r="A39" t="s">
        <v>86</v>
      </c>
      <c r="B39" t="s">
        <v>92</v>
      </c>
      <c r="C39">
        <v>2012</v>
      </c>
      <c r="D39">
        <v>6405.0574241349032</v>
      </c>
      <c r="E39">
        <v>2.6195243264553998</v>
      </c>
      <c r="F39">
        <v>4.58</v>
      </c>
      <c r="G39">
        <v>1354190000</v>
      </c>
    </row>
    <row r="40" spans="1:7" x14ac:dyDescent="0.3">
      <c r="A40" t="s">
        <v>86</v>
      </c>
      <c r="B40" t="s">
        <v>92</v>
      </c>
      <c r="C40">
        <v>2013</v>
      </c>
      <c r="D40">
        <v>7147.0351862234411</v>
      </c>
      <c r="E40">
        <v>2.62105001748114</v>
      </c>
      <c r="F40">
        <v>4.5999999999999996</v>
      </c>
      <c r="G40">
        <v>1363240000</v>
      </c>
    </row>
    <row r="41" spans="1:7" x14ac:dyDescent="0.3">
      <c r="A41" t="s">
        <v>86</v>
      </c>
      <c r="B41" t="s">
        <v>92</v>
      </c>
      <c r="C41">
        <v>2014</v>
      </c>
      <c r="D41">
        <v>7781.0659748497383</v>
      </c>
      <c r="E41">
        <v>1.9216416278852</v>
      </c>
      <c r="F41">
        <v>4.63</v>
      </c>
      <c r="G41">
        <v>1371860000</v>
      </c>
    </row>
    <row r="42" spans="1:7" x14ac:dyDescent="0.3">
      <c r="A42" t="s">
        <v>86</v>
      </c>
      <c r="B42" t="s">
        <v>92</v>
      </c>
      <c r="C42">
        <v>2015</v>
      </c>
      <c r="D42">
        <v>8175.3328507739288</v>
      </c>
      <c r="E42">
        <v>1.4370238093565399</v>
      </c>
      <c r="F42">
        <v>4.6500000000000004</v>
      </c>
      <c r="G42">
        <v>1379860000</v>
      </c>
    </row>
    <row r="43" spans="1:7" x14ac:dyDescent="0.3">
      <c r="A43" t="s">
        <v>86</v>
      </c>
      <c r="B43" t="s">
        <v>92</v>
      </c>
      <c r="C43">
        <v>2016</v>
      </c>
      <c r="D43">
        <v>8254.8685932035678</v>
      </c>
      <c r="E43">
        <v>2.00000182191943</v>
      </c>
      <c r="F43">
        <v>4.5599999999999996</v>
      </c>
      <c r="G43">
        <v>1387790000</v>
      </c>
    </row>
    <row r="44" spans="1:7" x14ac:dyDescent="0.3">
      <c r="A44" t="s">
        <v>86</v>
      </c>
      <c r="B44" t="s">
        <v>92</v>
      </c>
      <c r="C44">
        <v>2017</v>
      </c>
      <c r="D44">
        <v>8979.6765270985634</v>
      </c>
      <c r="E44">
        <v>1.59313600071435</v>
      </c>
      <c r="F44">
        <v>4.47</v>
      </c>
      <c r="G44">
        <v>1396215000</v>
      </c>
    </row>
    <row r="45" spans="1:7" x14ac:dyDescent="0.3">
      <c r="A45" t="s">
        <v>86</v>
      </c>
      <c r="B45" t="s">
        <v>92</v>
      </c>
      <c r="C45">
        <v>2018</v>
      </c>
      <c r="D45">
        <v>10085.663814881918</v>
      </c>
      <c r="E45">
        <v>2.0747903996557602</v>
      </c>
      <c r="F45">
        <v>4.3099999999999996</v>
      </c>
      <c r="G45">
        <v>1402760000</v>
      </c>
    </row>
    <row r="46" spans="1:7" x14ac:dyDescent="0.3">
      <c r="A46" t="s">
        <v>86</v>
      </c>
      <c r="B46" t="s">
        <v>92</v>
      </c>
      <c r="C46">
        <v>2019</v>
      </c>
      <c r="D46">
        <v>10342.90095243346</v>
      </c>
      <c r="E46">
        <v>2.89923416358226</v>
      </c>
      <c r="F46">
        <v>4.5599999999999996</v>
      </c>
      <c r="G46">
        <v>1407745000</v>
      </c>
    </row>
    <row r="47" spans="1:7" x14ac:dyDescent="0.3">
      <c r="A47" t="s">
        <v>86</v>
      </c>
      <c r="B47" t="s">
        <v>92</v>
      </c>
      <c r="C47">
        <v>2020</v>
      </c>
      <c r="D47">
        <v>10627.463798961868</v>
      </c>
      <c r="E47">
        <v>2.4194218945778201</v>
      </c>
      <c r="F47">
        <v>5</v>
      </c>
      <c r="G47">
        <v>1411100000</v>
      </c>
    </row>
    <row r="48" spans="1:7" x14ac:dyDescent="0.3">
      <c r="A48" t="s">
        <v>86</v>
      </c>
      <c r="B48" t="s">
        <v>92</v>
      </c>
      <c r="C48">
        <v>2021</v>
      </c>
      <c r="D48">
        <v>12887.435724294062</v>
      </c>
      <c r="E48">
        <v>0.98101513554488096</v>
      </c>
      <c r="F48">
        <v>4.55</v>
      </c>
      <c r="G48">
        <v>1412360000</v>
      </c>
    </row>
    <row r="49" spans="1:7" x14ac:dyDescent="0.3">
      <c r="A49" t="s">
        <v>86</v>
      </c>
      <c r="B49" t="s">
        <v>92</v>
      </c>
      <c r="C49">
        <v>2022</v>
      </c>
      <c r="D49">
        <v>12970.605641432652</v>
      </c>
      <c r="E49">
        <v>1.9735755573905001</v>
      </c>
      <c r="F49">
        <v>4.9800000000000004</v>
      </c>
      <c r="G49">
        <v>1412175000</v>
      </c>
    </row>
    <row r="50" spans="1:7" x14ac:dyDescent="0.3">
      <c r="A50" t="s">
        <v>86</v>
      </c>
      <c r="B50" t="s">
        <v>92</v>
      </c>
      <c r="C50">
        <v>2023</v>
      </c>
      <c r="D50">
        <v>12951.178239704273</v>
      </c>
      <c r="E50">
        <v>0.23483682889304999</v>
      </c>
      <c r="F50">
        <v>4.67</v>
      </c>
      <c r="G50">
        <v>1410710000</v>
      </c>
    </row>
    <row r="51" spans="1:7" x14ac:dyDescent="0.3">
      <c r="A51" t="s">
        <v>86</v>
      </c>
      <c r="B51" t="s">
        <v>92</v>
      </c>
      <c r="C51">
        <v>2024</v>
      </c>
      <c r="D51">
        <v>13293.116226936598</v>
      </c>
      <c r="E51">
        <v>0.21812893843917699</v>
      </c>
      <c r="F51">
        <v>4.59</v>
      </c>
      <c r="G51">
        <v>1408975000</v>
      </c>
    </row>
    <row r="52" spans="1:7" x14ac:dyDescent="0.3">
      <c r="A52" t="s">
        <v>31</v>
      </c>
      <c r="B52" t="s">
        <v>123</v>
      </c>
      <c r="C52">
        <v>2000</v>
      </c>
      <c r="D52">
        <v>22340.593951621708</v>
      </c>
      <c r="E52">
        <v>1.67061991153283</v>
      </c>
      <c r="F52">
        <v>10.218</v>
      </c>
      <c r="G52">
        <v>60918661</v>
      </c>
    </row>
    <row r="53" spans="1:7" x14ac:dyDescent="0.3">
      <c r="A53" t="s">
        <v>31</v>
      </c>
      <c r="B53" t="s">
        <v>123</v>
      </c>
      <c r="C53">
        <v>2001</v>
      </c>
      <c r="D53">
        <v>22331.794834303619</v>
      </c>
      <c r="E53">
        <v>1.63812454286363</v>
      </c>
      <c r="F53">
        <v>8.61</v>
      </c>
      <c r="G53">
        <v>61364377</v>
      </c>
    </row>
    <row r="54" spans="1:7" x14ac:dyDescent="0.3">
      <c r="A54" t="s">
        <v>31</v>
      </c>
      <c r="B54" t="s">
        <v>123</v>
      </c>
      <c r="C54">
        <v>2002</v>
      </c>
      <c r="D54">
        <v>24144.572701952864</v>
      </c>
      <c r="E54">
        <v>1.92190776331623</v>
      </c>
      <c r="F54">
        <v>8.702</v>
      </c>
      <c r="G54">
        <v>61812142</v>
      </c>
    </row>
    <row r="55" spans="1:7" x14ac:dyDescent="0.3">
      <c r="A55" t="s">
        <v>31</v>
      </c>
      <c r="B55" t="s">
        <v>123</v>
      </c>
      <c r="C55">
        <v>2003</v>
      </c>
      <c r="D55">
        <v>29479.522210117506</v>
      </c>
      <c r="E55">
        <v>2.0987023105203</v>
      </c>
      <c r="F55">
        <v>8.3059999999999992</v>
      </c>
      <c r="G55">
        <v>62249855</v>
      </c>
    </row>
    <row r="56" spans="1:7" x14ac:dyDescent="0.3">
      <c r="A56" t="s">
        <v>31</v>
      </c>
      <c r="B56" t="s">
        <v>123</v>
      </c>
      <c r="C56">
        <v>2004</v>
      </c>
      <c r="D56">
        <v>33644.928222036418</v>
      </c>
      <c r="E56">
        <v>2.1461786097531901</v>
      </c>
      <c r="F56">
        <v>8.9139999999999997</v>
      </c>
      <c r="G56">
        <v>62707588</v>
      </c>
    </row>
    <row r="57" spans="1:7" x14ac:dyDescent="0.3">
      <c r="A57" t="s">
        <v>31</v>
      </c>
      <c r="B57" t="s">
        <v>123</v>
      </c>
      <c r="C57">
        <v>2005</v>
      </c>
      <c r="D57">
        <v>34696.37183169715</v>
      </c>
      <c r="E57">
        <v>1.74156647601258</v>
      </c>
      <c r="F57">
        <v>8.8819999999999997</v>
      </c>
      <c r="G57">
        <v>63180854</v>
      </c>
    </row>
    <row r="58" spans="1:7" x14ac:dyDescent="0.3">
      <c r="A58" t="s">
        <v>31</v>
      </c>
      <c r="B58" t="s">
        <v>123</v>
      </c>
      <c r="C58">
        <v>2006</v>
      </c>
      <c r="D58">
        <v>36431.565890655525</v>
      </c>
      <c r="E58">
        <v>1.67618916500309</v>
      </c>
      <c r="F58">
        <v>8.8320000000000007</v>
      </c>
      <c r="G58">
        <v>63622342</v>
      </c>
    </row>
    <row r="59" spans="1:7" x14ac:dyDescent="0.3">
      <c r="A59" t="s">
        <v>31</v>
      </c>
      <c r="B59" t="s">
        <v>123</v>
      </c>
      <c r="C59">
        <v>2007</v>
      </c>
      <c r="D59">
        <v>41486.190782878672</v>
      </c>
      <c r="E59">
        <v>1.48832695801316</v>
      </c>
      <c r="F59">
        <v>8.0079999999999991</v>
      </c>
      <c r="G59">
        <v>64016890</v>
      </c>
    </row>
    <row r="60" spans="1:7" x14ac:dyDescent="0.3">
      <c r="A60" t="s">
        <v>31</v>
      </c>
      <c r="B60" t="s">
        <v>123</v>
      </c>
      <c r="C60">
        <v>2008</v>
      </c>
      <c r="D60">
        <v>45464.818138515802</v>
      </c>
      <c r="E60">
        <v>2.8129238842809898</v>
      </c>
      <c r="F60">
        <v>7.3860000000000001</v>
      </c>
      <c r="G60">
        <v>64375116</v>
      </c>
    </row>
    <row r="61" spans="1:7" x14ac:dyDescent="0.3">
      <c r="A61" t="s">
        <v>31</v>
      </c>
      <c r="B61" t="s">
        <v>123</v>
      </c>
      <c r="C61">
        <v>2009</v>
      </c>
      <c r="D61">
        <v>41728.088416413208</v>
      </c>
      <c r="E61">
        <v>8.7594082533068801E-2</v>
      </c>
      <c r="F61">
        <v>9.1219999999999999</v>
      </c>
      <c r="G61">
        <v>64706436</v>
      </c>
    </row>
    <row r="62" spans="1:7" x14ac:dyDescent="0.3">
      <c r="A62" t="s">
        <v>31</v>
      </c>
      <c r="B62" t="s">
        <v>123</v>
      </c>
      <c r="C62">
        <v>2010</v>
      </c>
      <c r="D62">
        <v>40694.821169702453</v>
      </c>
      <c r="E62">
        <v>1.5331755858805001</v>
      </c>
      <c r="F62">
        <v>9.2789999999999999</v>
      </c>
      <c r="G62">
        <v>65026211</v>
      </c>
    </row>
    <row r="63" spans="1:7" x14ac:dyDescent="0.3">
      <c r="A63" t="s">
        <v>31</v>
      </c>
      <c r="B63" t="s">
        <v>123</v>
      </c>
      <c r="C63">
        <v>2011</v>
      </c>
      <c r="D63">
        <v>43929.784087381166</v>
      </c>
      <c r="E63">
        <v>2.1080747456689002</v>
      </c>
      <c r="F63">
        <v>9.2279999999999998</v>
      </c>
      <c r="G63">
        <v>65340830</v>
      </c>
    </row>
    <row r="64" spans="1:7" x14ac:dyDescent="0.3">
      <c r="A64" t="s">
        <v>31</v>
      </c>
      <c r="B64" t="s">
        <v>123</v>
      </c>
      <c r="C64">
        <v>2012</v>
      </c>
      <c r="D64">
        <v>40863.581441233335</v>
      </c>
      <c r="E64">
        <v>1.95512386272455</v>
      </c>
      <c r="F64">
        <v>9.8409999999999993</v>
      </c>
      <c r="G64">
        <v>65657659</v>
      </c>
    </row>
    <row r="65" spans="1:7" x14ac:dyDescent="0.3">
      <c r="A65" t="s">
        <v>31</v>
      </c>
      <c r="B65" t="s">
        <v>123</v>
      </c>
      <c r="C65">
        <v>2013</v>
      </c>
      <c r="D65">
        <v>42669.179511189272</v>
      </c>
      <c r="E65">
        <v>0.86272986537727303</v>
      </c>
      <c r="F65">
        <v>9.9130000000000003</v>
      </c>
      <c r="G65">
        <v>65997932</v>
      </c>
    </row>
    <row r="66" spans="1:7" x14ac:dyDescent="0.3">
      <c r="A66" t="s">
        <v>31</v>
      </c>
      <c r="B66" t="s">
        <v>123</v>
      </c>
      <c r="C66">
        <v>2014</v>
      </c>
      <c r="D66">
        <v>43148.045928841602</v>
      </c>
      <c r="E66">
        <v>0.50773767900035005</v>
      </c>
      <c r="F66">
        <v>10.273</v>
      </c>
      <c r="G66">
        <v>66312067</v>
      </c>
    </row>
    <row r="67" spans="1:7" x14ac:dyDescent="0.3">
      <c r="A67" t="s">
        <v>31</v>
      </c>
      <c r="B67" t="s">
        <v>123</v>
      </c>
      <c r="C67">
        <v>2015</v>
      </c>
      <c r="D67">
        <v>36702.432373337935</v>
      </c>
      <c r="E67">
        <v>4.0333151834164402E-2</v>
      </c>
      <c r="F67">
        <v>10.353999999999999</v>
      </c>
      <c r="G67">
        <v>66548272</v>
      </c>
    </row>
    <row r="68" spans="1:7" x14ac:dyDescent="0.3">
      <c r="A68" t="s">
        <v>31</v>
      </c>
      <c r="B68" t="s">
        <v>123</v>
      </c>
      <c r="C68">
        <v>2016</v>
      </c>
      <c r="D68">
        <v>37024.215713366888</v>
      </c>
      <c r="E68">
        <v>0.18444977523328801</v>
      </c>
      <c r="F68">
        <v>10.057</v>
      </c>
      <c r="G68">
        <v>66724104</v>
      </c>
    </row>
    <row r="69" spans="1:7" x14ac:dyDescent="0.3">
      <c r="A69" t="s">
        <v>31</v>
      </c>
      <c r="B69" t="s">
        <v>123</v>
      </c>
      <c r="C69">
        <v>2017</v>
      </c>
      <c r="D69">
        <v>38687.162640716364</v>
      </c>
      <c r="E69">
        <v>1.0292061128605201</v>
      </c>
      <c r="F69">
        <v>9.4090000000000007</v>
      </c>
      <c r="G69">
        <v>66918020</v>
      </c>
    </row>
    <row r="70" spans="1:7" x14ac:dyDescent="0.3">
      <c r="A70" t="s">
        <v>31</v>
      </c>
      <c r="B70" t="s">
        <v>123</v>
      </c>
      <c r="C70">
        <v>2018</v>
      </c>
      <c r="D70">
        <v>41418.176648484419</v>
      </c>
      <c r="E70">
        <v>1.85222067317272</v>
      </c>
      <c r="F70">
        <v>9.0180000000000007</v>
      </c>
      <c r="G70">
        <v>67158348</v>
      </c>
    </row>
    <row r="71" spans="1:7" x14ac:dyDescent="0.3">
      <c r="A71" t="s">
        <v>31</v>
      </c>
      <c r="B71" t="s">
        <v>123</v>
      </c>
      <c r="C71">
        <v>2019</v>
      </c>
      <c r="D71">
        <v>40408.284857475053</v>
      </c>
      <c r="E71">
        <v>1.1067657411028999</v>
      </c>
      <c r="F71">
        <v>8.4149999999999991</v>
      </c>
      <c r="G71">
        <v>67382061</v>
      </c>
    </row>
    <row r="72" spans="1:7" x14ac:dyDescent="0.3">
      <c r="A72" t="s">
        <v>31</v>
      </c>
      <c r="B72" t="s">
        <v>123</v>
      </c>
      <c r="C72">
        <v>2020</v>
      </c>
      <c r="D72">
        <v>39169.860600070715</v>
      </c>
      <c r="E72">
        <v>0.47770084709702199</v>
      </c>
      <c r="F72">
        <v>8.0090000000000003</v>
      </c>
      <c r="G72">
        <v>67601110</v>
      </c>
    </row>
    <row r="73" spans="1:7" x14ac:dyDescent="0.3">
      <c r="A73" t="s">
        <v>31</v>
      </c>
      <c r="B73" t="s">
        <v>123</v>
      </c>
      <c r="C73">
        <v>2021</v>
      </c>
      <c r="D73">
        <v>43725.099952124503</v>
      </c>
      <c r="E73">
        <v>1.64090620368408</v>
      </c>
      <c r="F73">
        <v>7.8710000000000004</v>
      </c>
      <c r="G73">
        <v>67842811</v>
      </c>
    </row>
    <row r="74" spans="1:7" x14ac:dyDescent="0.3">
      <c r="A74" t="s">
        <v>31</v>
      </c>
      <c r="B74" t="s">
        <v>123</v>
      </c>
      <c r="C74">
        <v>2022</v>
      </c>
      <c r="D74">
        <v>40988.639640657944</v>
      </c>
      <c r="E74">
        <v>5.2229407921523103</v>
      </c>
      <c r="F74">
        <v>7.3029999999999999</v>
      </c>
      <c r="G74">
        <v>68184457</v>
      </c>
    </row>
    <row r="75" spans="1:7" x14ac:dyDescent="0.3">
      <c r="A75" t="s">
        <v>31</v>
      </c>
      <c r="B75" t="s">
        <v>123</v>
      </c>
      <c r="C75">
        <v>2023</v>
      </c>
      <c r="D75">
        <v>44700.138417754366</v>
      </c>
      <c r="E75">
        <v>4.8800021596911902</v>
      </c>
      <c r="F75">
        <v>7.335</v>
      </c>
      <c r="G75">
        <v>68372286</v>
      </c>
    </row>
    <row r="76" spans="1:7" x14ac:dyDescent="0.3">
      <c r="A76" t="s">
        <v>31</v>
      </c>
      <c r="B76" t="s">
        <v>123</v>
      </c>
      <c r="C76">
        <v>2024</v>
      </c>
      <c r="D76">
        <v>46103.084085588387</v>
      </c>
      <c r="E76">
        <v>1.99742599742599</v>
      </c>
      <c r="F76">
        <v>7.4</v>
      </c>
      <c r="G76">
        <v>68551653</v>
      </c>
    </row>
    <row r="77" spans="1:7" x14ac:dyDescent="0.3">
      <c r="A77" t="s">
        <v>89</v>
      </c>
      <c r="B77" t="s">
        <v>49</v>
      </c>
      <c r="C77">
        <v>2000</v>
      </c>
      <c r="D77">
        <v>23925.855990199114</v>
      </c>
      <c r="E77">
        <v>1.44026838719741</v>
      </c>
      <c r="F77">
        <v>7.9169999999999998</v>
      </c>
      <c r="G77">
        <v>82211508</v>
      </c>
    </row>
    <row r="78" spans="1:7" x14ac:dyDescent="0.3">
      <c r="A78" t="s">
        <v>89</v>
      </c>
      <c r="B78" t="s">
        <v>49</v>
      </c>
      <c r="C78">
        <v>2001</v>
      </c>
      <c r="D78">
        <v>23878.364147165095</v>
      </c>
      <c r="E78">
        <v>1.9838573133447099</v>
      </c>
      <c r="F78">
        <v>7.7729999999999997</v>
      </c>
      <c r="G78">
        <v>82349925</v>
      </c>
    </row>
    <row r="79" spans="1:7" x14ac:dyDescent="0.3">
      <c r="A79" t="s">
        <v>89</v>
      </c>
      <c r="B79" t="s">
        <v>49</v>
      </c>
      <c r="C79">
        <v>2002</v>
      </c>
      <c r="D79">
        <v>25486.594200874752</v>
      </c>
      <c r="E79">
        <v>1.42080615551526</v>
      </c>
      <c r="F79">
        <v>8.4819999999999993</v>
      </c>
      <c r="G79">
        <v>82488495</v>
      </c>
    </row>
    <row r="80" spans="1:7" x14ac:dyDescent="0.3">
      <c r="A80" t="s">
        <v>89</v>
      </c>
      <c r="B80" t="s">
        <v>49</v>
      </c>
      <c r="C80">
        <v>2003</v>
      </c>
      <c r="D80">
        <v>30711.102251133085</v>
      </c>
      <c r="E80">
        <v>1.03422218628562</v>
      </c>
      <c r="F80">
        <v>9.7789999999999999</v>
      </c>
      <c r="G80">
        <v>82534176</v>
      </c>
    </row>
    <row r="81" spans="1:7" x14ac:dyDescent="0.3">
      <c r="A81" t="s">
        <v>89</v>
      </c>
      <c r="B81" t="s">
        <v>49</v>
      </c>
      <c r="C81">
        <v>2004</v>
      </c>
      <c r="D81">
        <v>34566.73591437353</v>
      </c>
      <c r="E81">
        <v>1.66573696655991</v>
      </c>
      <c r="F81">
        <v>10.727</v>
      </c>
      <c r="G81">
        <v>82516260</v>
      </c>
    </row>
    <row r="82" spans="1:7" x14ac:dyDescent="0.3">
      <c r="A82" t="s">
        <v>89</v>
      </c>
      <c r="B82" t="s">
        <v>49</v>
      </c>
      <c r="C82">
        <v>2005</v>
      </c>
      <c r="D82">
        <v>35084.436354626887</v>
      </c>
      <c r="E82">
        <v>1.54691114751328</v>
      </c>
      <c r="F82">
        <v>11.193</v>
      </c>
      <c r="G82">
        <v>82469422</v>
      </c>
    </row>
    <row r="83" spans="1:7" x14ac:dyDescent="0.3">
      <c r="A83" t="s">
        <v>89</v>
      </c>
      <c r="B83" t="s">
        <v>49</v>
      </c>
      <c r="C83">
        <v>2006</v>
      </c>
      <c r="D83">
        <v>36980.334994895376</v>
      </c>
      <c r="E83">
        <v>1.5774264284056301</v>
      </c>
      <c r="F83">
        <v>10.276999999999999</v>
      </c>
      <c r="G83">
        <v>82376451</v>
      </c>
    </row>
    <row r="84" spans="1:7" x14ac:dyDescent="0.3">
      <c r="A84" t="s">
        <v>89</v>
      </c>
      <c r="B84" t="s">
        <v>49</v>
      </c>
      <c r="C84">
        <v>2007</v>
      </c>
      <c r="D84">
        <v>42350.921721148872</v>
      </c>
      <c r="E84">
        <v>2.2983440070094998</v>
      </c>
      <c r="F84">
        <v>8.7319999999999993</v>
      </c>
      <c r="G84">
        <v>82266372</v>
      </c>
    </row>
    <row r="85" spans="1:7" x14ac:dyDescent="0.3">
      <c r="A85" t="s">
        <v>89</v>
      </c>
      <c r="B85" t="s">
        <v>49</v>
      </c>
      <c r="C85">
        <v>2008</v>
      </c>
      <c r="D85">
        <v>46379.164795347875</v>
      </c>
      <c r="E85">
        <v>2.6283798163721901</v>
      </c>
      <c r="F85">
        <v>7.508</v>
      </c>
      <c r="G85">
        <v>82110097</v>
      </c>
    </row>
    <row r="86" spans="1:7" x14ac:dyDescent="0.3">
      <c r="A86" t="s">
        <v>89</v>
      </c>
      <c r="B86" t="s">
        <v>49</v>
      </c>
      <c r="C86">
        <v>2009</v>
      </c>
      <c r="D86">
        <v>42471.88686252258</v>
      </c>
      <c r="E86">
        <v>0.31273900736844601</v>
      </c>
      <c r="F86">
        <v>7.88</v>
      </c>
      <c r="G86">
        <v>81902307</v>
      </c>
    </row>
    <row r="87" spans="1:7" x14ac:dyDescent="0.3">
      <c r="A87" t="s">
        <v>89</v>
      </c>
      <c r="B87" t="s">
        <v>49</v>
      </c>
      <c r="C87">
        <v>2010</v>
      </c>
      <c r="D87">
        <v>42396.966597629347</v>
      </c>
      <c r="E87">
        <v>1.1038103778926001</v>
      </c>
      <c r="F87">
        <v>7.0430000000000001</v>
      </c>
      <c r="G87">
        <v>81776930</v>
      </c>
    </row>
    <row r="88" spans="1:7" x14ac:dyDescent="0.3">
      <c r="A88" t="s">
        <v>89</v>
      </c>
      <c r="B88" t="s">
        <v>49</v>
      </c>
      <c r="C88">
        <v>2011</v>
      </c>
      <c r="D88">
        <v>47630.976188357236</v>
      </c>
      <c r="E88">
        <v>2.0751728373587399</v>
      </c>
      <c r="F88">
        <v>5.9669999999999996</v>
      </c>
      <c r="G88">
        <v>80274983</v>
      </c>
    </row>
    <row r="89" spans="1:7" x14ac:dyDescent="0.3">
      <c r="A89" t="s">
        <v>89</v>
      </c>
      <c r="B89" t="s">
        <v>49</v>
      </c>
      <c r="C89">
        <v>2012</v>
      </c>
      <c r="D89">
        <v>44718.01592140687</v>
      </c>
      <c r="E89">
        <v>2.0084888478295602</v>
      </c>
      <c r="F89">
        <v>5.3719999999999999</v>
      </c>
      <c r="G89">
        <v>80425823</v>
      </c>
    </row>
    <row r="90" spans="1:7" x14ac:dyDescent="0.3">
      <c r="A90" t="s">
        <v>89</v>
      </c>
      <c r="B90" t="s">
        <v>49</v>
      </c>
      <c r="C90">
        <v>2013</v>
      </c>
      <c r="D90">
        <v>47206.83535142419</v>
      </c>
      <c r="E90">
        <v>1.5047233025187601</v>
      </c>
      <c r="F90">
        <v>5.3159999999999998</v>
      </c>
      <c r="G90">
        <v>80645605</v>
      </c>
    </row>
    <row r="91" spans="1:7" x14ac:dyDescent="0.3">
      <c r="A91" t="s">
        <v>89</v>
      </c>
      <c r="B91" t="s">
        <v>49</v>
      </c>
      <c r="C91">
        <v>2014</v>
      </c>
      <c r="D91">
        <v>48959.599120313287</v>
      </c>
      <c r="E91">
        <v>0.90679400043424496</v>
      </c>
      <c r="F91">
        <v>4.9790000000000001</v>
      </c>
      <c r="G91">
        <v>80982500</v>
      </c>
    </row>
    <row r="92" spans="1:7" x14ac:dyDescent="0.3">
      <c r="A92" t="s">
        <v>89</v>
      </c>
      <c r="B92" t="s">
        <v>49</v>
      </c>
      <c r="C92">
        <v>2015</v>
      </c>
      <c r="D92">
        <v>41929.754911072167</v>
      </c>
      <c r="E92">
        <v>0.51442613712545604</v>
      </c>
      <c r="F92">
        <v>4.6120000000000001</v>
      </c>
      <c r="G92">
        <v>81686611</v>
      </c>
    </row>
    <row r="93" spans="1:7" x14ac:dyDescent="0.3">
      <c r="A93" t="s">
        <v>89</v>
      </c>
      <c r="B93" t="s">
        <v>49</v>
      </c>
      <c r="C93">
        <v>2016</v>
      </c>
      <c r="D93">
        <v>42948.938193269365</v>
      </c>
      <c r="E93">
        <v>0.49174700844517399</v>
      </c>
      <c r="F93">
        <v>4.1040000000000001</v>
      </c>
      <c r="G93">
        <v>82348669</v>
      </c>
    </row>
    <row r="94" spans="1:7" x14ac:dyDescent="0.3">
      <c r="A94" t="s">
        <v>89</v>
      </c>
      <c r="B94" t="s">
        <v>49</v>
      </c>
      <c r="C94">
        <v>2017</v>
      </c>
      <c r="D94">
        <v>45553.934149533859</v>
      </c>
      <c r="E94">
        <v>1.50949485109628</v>
      </c>
      <c r="F94">
        <v>3.7810000000000001</v>
      </c>
      <c r="G94">
        <v>82657002</v>
      </c>
    </row>
    <row r="95" spans="1:7" x14ac:dyDescent="0.3">
      <c r="A95" t="s">
        <v>89</v>
      </c>
      <c r="B95" t="s">
        <v>49</v>
      </c>
      <c r="C95">
        <v>2018</v>
      </c>
      <c r="D95">
        <v>48916.16866121543</v>
      </c>
      <c r="E95">
        <v>1.73216879766941</v>
      </c>
      <c r="F95">
        <v>3.3839999999999999</v>
      </c>
      <c r="G95">
        <v>82905782</v>
      </c>
    </row>
    <row r="96" spans="1:7" x14ac:dyDescent="0.3">
      <c r="A96" t="s">
        <v>89</v>
      </c>
      <c r="B96" t="s">
        <v>49</v>
      </c>
      <c r="C96">
        <v>2019</v>
      </c>
      <c r="D96">
        <v>47656.199739747026</v>
      </c>
      <c r="E96">
        <v>1.4456597688825299</v>
      </c>
      <c r="F96">
        <v>3.1629999999999998</v>
      </c>
      <c r="G96">
        <v>83092962</v>
      </c>
    </row>
    <row r="97" spans="1:7" x14ac:dyDescent="0.3">
      <c r="A97" t="s">
        <v>89</v>
      </c>
      <c r="B97" t="s">
        <v>49</v>
      </c>
      <c r="C97">
        <v>2020</v>
      </c>
      <c r="D97">
        <v>47394.873450446918</v>
      </c>
      <c r="E97">
        <v>0.14487792581398101</v>
      </c>
      <c r="F97">
        <v>3.8809999999999998</v>
      </c>
      <c r="G97">
        <v>83160871</v>
      </c>
    </row>
    <row r="98" spans="1:7" x14ac:dyDescent="0.3">
      <c r="A98" t="s">
        <v>89</v>
      </c>
      <c r="B98" t="s">
        <v>49</v>
      </c>
      <c r="C98">
        <v>2021</v>
      </c>
      <c r="D98">
        <v>52349.245999442217</v>
      </c>
      <c r="E98">
        <v>3.0666666666667299</v>
      </c>
      <c r="F98">
        <v>3.5939999999999999</v>
      </c>
      <c r="G98">
        <v>83196078</v>
      </c>
    </row>
    <row r="99" spans="1:7" x14ac:dyDescent="0.3">
      <c r="A99" t="s">
        <v>89</v>
      </c>
      <c r="B99" t="s">
        <v>49</v>
      </c>
      <c r="C99">
        <v>2022</v>
      </c>
      <c r="D99">
        <v>50506.517963854327</v>
      </c>
      <c r="E99">
        <v>6.8725743855109602</v>
      </c>
      <c r="F99">
        <v>3.137</v>
      </c>
      <c r="G99">
        <v>83177813</v>
      </c>
    </row>
    <row r="100" spans="1:7" x14ac:dyDescent="0.3">
      <c r="A100" t="s">
        <v>89</v>
      </c>
      <c r="B100" t="s">
        <v>49</v>
      </c>
      <c r="C100">
        <v>2023</v>
      </c>
      <c r="D100">
        <v>54776.766823549093</v>
      </c>
      <c r="E100">
        <v>5.9464366772582302</v>
      </c>
      <c r="F100">
        <v>3.0710000000000002</v>
      </c>
      <c r="G100">
        <v>83287273</v>
      </c>
    </row>
    <row r="101" spans="1:7" x14ac:dyDescent="0.3">
      <c r="A101" t="s">
        <v>89</v>
      </c>
      <c r="B101" t="s">
        <v>49</v>
      </c>
      <c r="C101">
        <v>2024</v>
      </c>
      <c r="D101">
        <v>56103.732318255446</v>
      </c>
      <c r="E101">
        <v>2.2564981433876001</v>
      </c>
      <c r="F101">
        <v>3.4</v>
      </c>
      <c r="G101">
        <v>83516593</v>
      </c>
    </row>
    <row r="102" spans="1:7" x14ac:dyDescent="0.3">
      <c r="A102" t="s">
        <v>17</v>
      </c>
      <c r="B102" t="s">
        <v>114</v>
      </c>
      <c r="C102">
        <v>2000</v>
      </c>
      <c r="D102">
        <v>442.75021893726324</v>
      </c>
      <c r="E102">
        <v>4.0094359104519004</v>
      </c>
      <c r="F102">
        <v>7.5890000000000004</v>
      </c>
      <c r="G102">
        <v>1057922733</v>
      </c>
    </row>
    <row r="103" spans="1:7" x14ac:dyDescent="0.3">
      <c r="A103" t="s">
        <v>17</v>
      </c>
      <c r="B103" t="s">
        <v>114</v>
      </c>
      <c r="C103">
        <v>2001</v>
      </c>
      <c r="D103">
        <v>450.35790051412818</v>
      </c>
      <c r="E103">
        <v>3.7792931223563699</v>
      </c>
      <c r="F103">
        <v>7.6109999999999998</v>
      </c>
      <c r="G103">
        <v>1077898575</v>
      </c>
    </row>
    <row r="104" spans="1:7" x14ac:dyDescent="0.3">
      <c r="A104" t="s">
        <v>17</v>
      </c>
      <c r="B104" t="s">
        <v>114</v>
      </c>
      <c r="C104">
        <v>2002</v>
      </c>
      <c r="D104">
        <v>469.14992897392727</v>
      </c>
      <c r="E104">
        <v>4.29715203929561</v>
      </c>
      <c r="F104">
        <v>7.681</v>
      </c>
      <c r="G104">
        <v>1097600380</v>
      </c>
    </row>
    <row r="105" spans="1:7" x14ac:dyDescent="0.3">
      <c r="A105" t="s">
        <v>17</v>
      </c>
      <c r="B105" t="s">
        <v>114</v>
      </c>
      <c r="C105">
        <v>2003</v>
      </c>
      <c r="D105">
        <v>544.14313354500223</v>
      </c>
      <c r="E105">
        <v>3.8058589952885198</v>
      </c>
      <c r="F105">
        <v>7.633</v>
      </c>
      <c r="G105">
        <v>1116803006</v>
      </c>
    </row>
    <row r="106" spans="1:7" x14ac:dyDescent="0.3">
      <c r="A106" t="s">
        <v>17</v>
      </c>
      <c r="B106" t="s">
        <v>114</v>
      </c>
      <c r="C106">
        <v>2004</v>
      </c>
      <c r="D106">
        <v>624.25882651006611</v>
      </c>
      <c r="E106">
        <v>3.7672517347751699</v>
      </c>
      <c r="F106">
        <v>7.5979999999999999</v>
      </c>
      <c r="G106">
        <v>1135991513</v>
      </c>
    </row>
    <row r="107" spans="1:7" x14ac:dyDescent="0.3">
      <c r="A107" t="s">
        <v>17</v>
      </c>
      <c r="B107" t="s">
        <v>114</v>
      </c>
      <c r="C107">
        <v>2005</v>
      </c>
      <c r="D107">
        <v>710.48808040894892</v>
      </c>
      <c r="E107">
        <v>4.2463436203192302</v>
      </c>
      <c r="F107">
        <v>7.5510000000000002</v>
      </c>
      <c r="G107">
        <v>1154676322</v>
      </c>
    </row>
    <row r="108" spans="1:7" x14ac:dyDescent="0.3">
      <c r="A108" t="s">
        <v>17</v>
      </c>
      <c r="B108" t="s">
        <v>114</v>
      </c>
      <c r="C108">
        <v>2006</v>
      </c>
      <c r="D108">
        <v>801.66835365902227</v>
      </c>
      <c r="E108">
        <v>5.7965233756163297</v>
      </c>
      <c r="F108">
        <v>7.5529999999999999</v>
      </c>
      <c r="G108">
        <v>1172878890</v>
      </c>
    </row>
    <row r="109" spans="1:7" x14ac:dyDescent="0.3">
      <c r="A109" t="s">
        <v>17</v>
      </c>
      <c r="B109" t="s">
        <v>114</v>
      </c>
      <c r="C109">
        <v>2007</v>
      </c>
      <c r="D109">
        <v>1021.8870770682593</v>
      </c>
      <c r="E109">
        <v>6.3728813559323099</v>
      </c>
      <c r="F109">
        <v>7.5620000000000003</v>
      </c>
      <c r="G109">
        <v>1190676021</v>
      </c>
    </row>
    <row r="110" spans="1:7" x14ac:dyDescent="0.3">
      <c r="A110" t="s">
        <v>17</v>
      </c>
      <c r="B110" t="s">
        <v>114</v>
      </c>
      <c r="C110">
        <v>2008</v>
      </c>
      <c r="D110">
        <v>992.51958492382755</v>
      </c>
      <c r="E110">
        <v>8.3492670490757401</v>
      </c>
      <c r="F110">
        <v>7.6289999999999996</v>
      </c>
      <c r="G110">
        <v>1207930964</v>
      </c>
    </row>
    <row r="111" spans="1:7" x14ac:dyDescent="0.3">
      <c r="A111" t="s">
        <v>17</v>
      </c>
      <c r="B111" t="s">
        <v>114</v>
      </c>
      <c r="C111">
        <v>2009</v>
      </c>
      <c r="D111">
        <v>1094.9497459843622</v>
      </c>
      <c r="E111">
        <v>10.8823529411764</v>
      </c>
      <c r="F111">
        <v>7.6360000000000001</v>
      </c>
      <c r="G111">
        <v>1225524753</v>
      </c>
    </row>
    <row r="112" spans="1:7" x14ac:dyDescent="0.3">
      <c r="A112" t="s">
        <v>17</v>
      </c>
      <c r="B112" t="s">
        <v>114</v>
      </c>
      <c r="C112">
        <v>2010</v>
      </c>
      <c r="D112">
        <v>1347.5193907136679</v>
      </c>
      <c r="E112">
        <v>11.989389920424401</v>
      </c>
      <c r="F112">
        <v>7.6310000000000002</v>
      </c>
      <c r="G112">
        <v>1243481564</v>
      </c>
    </row>
    <row r="113" spans="1:7" x14ac:dyDescent="0.3">
      <c r="A113" t="s">
        <v>17</v>
      </c>
      <c r="B113" t="s">
        <v>114</v>
      </c>
      <c r="C113">
        <v>2011</v>
      </c>
      <c r="D113">
        <v>1445.4612748603658</v>
      </c>
      <c r="E113">
        <v>8.9117933648335992</v>
      </c>
      <c r="F113">
        <v>7.609</v>
      </c>
      <c r="G113">
        <v>1261224954</v>
      </c>
    </row>
    <row r="114" spans="1:7" x14ac:dyDescent="0.3">
      <c r="A114" t="s">
        <v>17</v>
      </c>
      <c r="B114" t="s">
        <v>114</v>
      </c>
      <c r="C114">
        <v>2012</v>
      </c>
      <c r="D114">
        <v>1429.321995200319</v>
      </c>
      <c r="E114">
        <v>9.4789969141979196</v>
      </c>
      <c r="F114">
        <v>7.6449999999999996</v>
      </c>
      <c r="G114">
        <v>1278674502</v>
      </c>
    </row>
    <row r="115" spans="1:7" x14ac:dyDescent="0.3">
      <c r="A115" t="s">
        <v>17</v>
      </c>
      <c r="B115" t="s">
        <v>114</v>
      </c>
      <c r="C115">
        <v>2013</v>
      </c>
      <c r="D115">
        <v>1432.843975121953</v>
      </c>
      <c r="E115">
        <v>10.0178784746104</v>
      </c>
      <c r="F115">
        <v>7.6779999999999999</v>
      </c>
      <c r="G115">
        <v>1295829511</v>
      </c>
    </row>
    <row r="116" spans="1:7" x14ac:dyDescent="0.3">
      <c r="A116" t="s">
        <v>17</v>
      </c>
      <c r="B116" t="s">
        <v>114</v>
      </c>
      <c r="C116">
        <v>2014</v>
      </c>
      <c r="D116">
        <v>1553.8839607511832</v>
      </c>
      <c r="E116">
        <v>6.6656567186789903</v>
      </c>
      <c r="F116">
        <v>7.6559999999999997</v>
      </c>
      <c r="G116">
        <v>1312277191</v>
      </c>
    </row>
    <row r="117" spans="1:7" x14ac:dyDescent="0.3">
      <c r="A117" t="s">
        <v>17</v>
      </c>
      <c r="B117" t="s">
        <v>114</v>
      </c>
      <c r="C117">
        <v>2015</v>
      </c>
      <c r="D117">
        <v>1583.9981590798479</v>
      </c>
      <c r="E117">
        <v>4.9069734412724904</v>
      </c>
      <c r="F117">
        <v>7.6289999999999996</v>
      </c>
      <c r="G117">
        <v>1328024498</v>
      </c>
    </row>
    <row r="118" spans="1:7" x14ac:dyDescent="0.3">
      <c r="A118" t="s">
        <v>17</v>
      </c>
      <c r="B118" t="s">
        <v>114</v>
      </c>
      <c r="C118">
        <v>2016</v>
      </c>
      <c r="D118">
        <v>1707.5089291224338</v>
      </c>
      <c r="E118">
        <v>4.9482163406213404</v>
      </c>
      <c r="F118">
        <v>7.6109999999999998</v>
      </c>
      <c r="G118">
        <v>1343944296</v>
      </c>
    </row>
    <row r="119" spans="1:7" x14ac:dyDescent="0.3">
      <c r="A119" t="s">
        <v>17</v>
      </c>
      <c r="B119" t="s">
        <v>114</v>
      </c>
      <c r="C119">
        <v>2017</v>
      </c>
      <c r="D119">
        <v>1950.1046828086635</v>
      </c>
      <c r="E119">
        <v>3.3281733746130402</v>
      </c>
      <c r="F119">
        <v>7.6260000000000003</v>
      </c>
      <c r="G119">
        <v>1359657400</v>
      </c>
    </row>
    <row r="120" spans="1:7" x14ac:dyDescent="0.3">
      <c r="A120" t="s">
        <v>17</v>
      </c>
      <c r="B120" t="s">
        <v>114</v>
      </c>
      <c r="C120">
        <v>2018</v>
      </c>
      <c r="D120">
        <v>1966.2545517167889</v>
      </c>
      <c r="E120">
        <v>3.9388264669164199</v>
      </c>
      <c r="F120">
        <v>7.6520000000000001</v>
      </c>
      <c r="G120">
        <v>1374659064</v>
      </c>
    </row>
    <row r="121" spans="1:7" x14ac:dyDescent="0.3">
      <c r="A121" t="s">
        <v>17</v>
      </c>
      <c r="B121" t="s">
        <v>114</v>
      </c>
      <c r="C121">
        <v>2019</v>
      </c>
      <c r="D121">
        <v>2041.4286369858535</v>
      </c>
      <c r="E121">
        <v>3.7295057353912302</v>
      </c>
      <c r="F121">
        <v>6.51</v>
      </c>
      <c r="G121">
        <v>1389030312</v>
      </c>
    </row>
    <row r="122" spans="1:7" x14ac:dyDescent="0.3">
      <c r="A122" t="s">
        <v>17</v>
      </c>
      <c r="B122" t="s">
        <v>114</v>
      </c>
      <c r="C122">
        <v>2020</v>
      </c>
      <c r="D122">
        <v>1907.042516376687</v>
      </c>
      <c r="E122">
        <v>6.6234367762852902</v>
      </c>
      <c r="F122">
        <v>7.859</v>
      </c>
      <c r="G122">
        <v>1402617695</v>
      </c>
    </row>
    <row r="123" spans="1:7" x14ac:dyDescent="0.3">
      <c r="A123" t="s">
        <v>17</v>
      </c>
      <c r="B123" t="s">
        <v>114</v>
      </c>
      <c r="C123">
        <v>2021</v>
      </c>
      <c r="D123">
        <v>2239.6138436748224</v>
      </c>
      <c r="E123">
        <v>5.1314074717636302</v>
      </c>
      <c r="F123">
        <v>6.38</v>
      </c>
      <c r="G123">
        <v>1414203896</v>
      </c>
    </row>
    <row r="124" spans="1:7" x14ac:dyDescent="0.3">
      <c r="A124" t="s">
        <v>17</v>
      </c>
      <c r="B124" t="s">
        <v>114</v>
      </c>
      <c r="C124">
        <v>2022</v>
      </c>
      <c r="D124">
        <v>2279.9814571936909</v>
      </c>
      <c r="E124">
        <v>6.6990341407985703</v>
      </c>
      <c r="F124">
        <v>4.8220000000000001</v>
      </c>
      <c r="G124">
        <v>1425423212</v>
      </c>
    </row>
    <row r="125" spans="1:7" x14ac:dyDescent="0.3">
      <c r="A125" t="s">
        <v>17</v>
      </c>
      <c r="B125" t="s">
        <v>114</v>
      </c>
      <c r="C125">
        <v>2023</v>
      </c>
      <c r="D125">
        <v>2434.4482634098913</v>
      </c>
      <c r="E125">
        <v>5.6491431890792496</v>
      </c>
      <c r="F125">
        <v>4.1719999999999997</v>
      </c>
      <c r="G125">
        <v>1438069596</v>
      </c>
    </row>
    <row r="126" spans="1:7" x14ac:dyDescent="0.3">
      <c r="A126" t="s">
        <v>17</v>
      </c>
      <c r="B126" t="s">
        <v>114</v>
      </c>
      <c r="C126">
        <v>2024</v>
      </c>
      <c r="D126">
        <v>2591.9916607121977</v>
      </c>
      <c r="E126">
        <v>4.9530355097366003</v>
      </c>
      <c r="F126">
        <v>4.173</v>
      </c>
      <c r="G126">
        <v>1450935791</v>
      </c>
    </row>
    <row r="127" spans="1:7" x14ac:dyDescent="0.3">
      <c r="A127" t="s">
        <v>91</v>
      </c>
      <c r="B127" t="s">
        <v>70</v>
      </c>
      <c r="C127">
        <v>2000</v>
      </c>
      <c r="D127">
        <v>763.7111249509245</v>
      </c>
      <c r="E127">
        <v>3.6886203705668099</v>
      </c>
      <c r="F127">
        <v>6.077</v>
      </c>
      <c r="G127">
        <v>216077790</v>
      </c>
    </row>
    <row r="128" spans="1:7" x14ac:dyDescent="0.3">
      <c r="A128" t="s">
        <v>91</v>
      </c>
      <c r="B128" t="s">
        <v>70</v>
      </c>
      <c r="C128">
        <v>2001</v>
      </c>
      <c r="D128">
        <v>732.30709340570763</v>
      </c>
      <c r="E128">
        <v>11.5001160550887</v>
      </c>
      <c r="F128">
        <v>6.0819999999999999</v>
      </c>
      <c r="G128">
        <v>219097902</v>
      </c>
    </row>
    <row r="129" spans="1:7" x14ac:dyDescent="0.3">
      <c r="A129" t="s">
        <v>91</v>
      </c>
      <c r="B129" t="s">
        <v>70</v>
      </c>
      <c r="C129">
        <v>2002</v>
      </c>
      <c r="D129">
        <v>881.00291356913124</v>
      </c>
      <c r="E129">
        <v>11.900120033841301</v>
      </c>
      <c r="F129">
        <v>6.6040000000000001</v>
      </c>
      <c r="G129">
        <v>222088495</v>
      </c>
    </row>
    <row r="130" spans="1:7" x14ac:dyDescent="0.3">
      <c r="A130" t="s">
        <v>91</v>
      </c>
      <c r="B130" t="s">
        <v>70</v>
      </c>
      <c r="C130">
        <v>2003</v>
      </c>
      <c r="D130">
        <v>1043.2105838671025</v>
      </c>
      <c r="E130">
        <v>6.7573125633356401</v>
      </c>
      <c r="F130">
        <v>6.657</v>
      </c>
      <c r="G130">
        <v>225048008</v>
      </c>
    </row>
    <row r="131" spans="1:7" x14ac:dyDescent="0.3">
      <c r="A131" t="s">
        <v>91</v>
      </c>
      <c r="B131" t="s">
        <v>70</v>
      </c>
      <c r="C131">
        <v>2004</v>
      </c>
      <c r="D131">
        <v>1126.8400444717279</v>
      </c>
      <c r="E131">
        <v>6.0640618913364701</v>
      </c>
      <c r="F131">
        <v>7.3029999999999999</v>
      </c>
      <c r="G131">
        <v>227926649</v>
      </c>
    </row>
    <row r="132" spans="1:7" x14ac:dyDescent="0.3">
      <c r="A132" t="s">
        <v>91</v>
      </c>
      <c r="B132" t="s">
        <v>70</v>
      </c>
      <c r="C132">
        <v>2005</v>
      </c>
      <c r="D132">
        <v>1238.2144762948797</v>
      </c>
      <c r="E132">
        <v>10.4532001873347</v>
      </c>
      <c r="F132">
        <v>7.9450000000000003</v>
      </c>
      <c r="G132">
        <v>230871650</v>
      </c>
    </row>
    <row r="133" spans="1:7" x14ac:dyDescent="0.3">
      <c r="A133" t="s">
        <v>91</v>
      </c>
      <c r="B133" t="s">
        <v>70</v>
      </c>
      <c r="C133">
        <v>2006</v>
      </c>
      <c r="D133">
        <v>1558.3156284716338</v>
      </c>
      <c r="E133">
        <v>13.108670985345899</v>
      </c>
      <c r="F133">
        <v>7.5510000000000002</v>
      </c>
      <c r="G133">
        <v>233951652</v>
      </c>
    </row>
    <row r="134" spans="1:7" x14ac:dyDescent="0.3">
      <c r="A134" t="s">
        <v>91</v>
      </c>
      <c r="B134" t="s">
        <v>70</v>
      </c>
      <c r="C134">
        <v>2007</v>
      </c>
      <c r="D134">
        <v>1823.2197625507274</v>
      </c>
      <c r="E134">
        <v>6.4065608796600397</v>
      </c>
      <c r="F134">
        <v>8.06</v>
      </c>
      <c r="G134">
        <v>237062337</v>
      </c>
    </row>
    <row r="135" spans="1:7" x14ac:dyDescent="0.3">
      <c r="A135" t="s">
        <v>91</v>
      </c>
      <c r="B135" t="s">
        <v>70</v>
      </c>
      <c r="C135">
        <v>2008</v>
      </c>
      <c r="D135">
        <v>2124.5548392061796</v>
      </c>
      <c r="E135">
        <v>10.2266663272482</v>
      </c>
      <c r="F135">
        <v>7.2080000000000002</v>
      </c>
      <c r="G135">
        <v>240157903</v>
      </c>
    </row>
    <row r="136" spans="1:7" x14ac:dyDescent="0.3">
      <c r="A136" t="s">
        <v>91</v>
      </c>
      <c r="B136" t="s">
        <v>70</v>
      </c>
      <c r="C136">
        <v>2009</v>
      </c>
      <c r="D136">
        <v>2218.4854185297663</v>
      </c>
      <c r="E136">
        <v>4.3864131179207302</v>
      </c>
      <c r="F136">
        <v>6.1059999999999999</v>
      </c>
      <c r="G136">
        <v>243220028</v>
      </c>
    </row>
    <row r="137" spans="1:7" x14ac:dyDescent="0.3">
      <c r="A137" t="s">
        <v>91</v>
      </c>
      <c r="B137" t="s">
        <v>70</v>
      </c>
      <c r="C137">
        <v>2010</v>
      </c>
      <c r="D137">
        <v>3065.6834837776487</v>
      </c>
      <c r="E137">
        <v>5.1342063901588499</v>
      </c>
      <c r="F137">
        <v>5.6139999999999999</v>
      </c>
      <c r="G137">
        <v>246305322</v>
      </c>
    </row>
    <row r="138" spans="1:7" x14ac:dyDescent="0.3">
      <c r="A138" t="s">
        <v>91</v>
      </c>
      <c r="B138" t="s">
        <v>70</v>
      </c>
      <c r="C138">
        <v>2011</v>
      </c>
      <c r="D138">
        <v>3579.4644246615212</v>
      </c>
      <c r="E138">
        <v>5.3560484911258204</v>
      </c>
      <c r="F138">
        <v>5.1529999999999996</v>
      </c>
      <c r="G138">
        <v>249470032</v>
      </c>
    </row>
    <row r="139" spans="1:7" x14ac:dyDescent="0.3">
      <c r="A139" t="s">
        <v>91</v>
      </c>
      <c r="B139" t="s">
        <v>70</v>
      </c>
      <c r="C139">
        <v>2012</v>
      </c>
      <c r="D139">
        <v>3632.2725403033064</v>
      </c>
      <c r="E139">
        <v>4.2795142691942996</v>
      </c>
      <c r="F139">
        <v>4.468</v>
      </c>
      <c r="G139">
        <v>252698525</v>
      </c>
    </row>
    <row r="140" spans="1:7" x14ac:dyDescent="0.3">
      <c r="A140" t="s">
        <v>91</v>
      </c>
      <c r="B140" t="s">
        <v>70</v>
      </c>
      <c r="C140">
        <v>2013</v>
      </c>
      <c r="D140">
        <v>3566.6028450607755</v>
      </c>
      <c r="E140">
        <v>6.4124945790039103</v>
      </c>
      <c r="F140">
        <v>4.3360000000000003</v>
      </c>
      <c r="G140">
        <v>255852467</v>
      </c>
    </row>
    <row r="141" spans="1:7" x14ac:dyDescent="0.3">
      <c r="A141" t="s">
        <v>91</v>
      </c>
      <c r="B141" t="s">
        <v>70</v>
      </c>
      <c r="C141">
        <v>2014</v>
      </c>
      <c r="D141">
        <v>3441.0680846400842</v>
      </c>
      <c r="E141">
        <v>6.3949288239655901</v>
      </c>
      <c r="F141">
        <v>4.0490000000000004</v>
      </c>
      <c r="G141">
        <v>258877399</v>
      </c>
    </row>
    <row r="142" spans="1:7" x14ac:dyDescent="0.3">
      <c r="A142" t="s">
        <v>91</v>
      </c>
      <c r="B142" t="s">
        <v>70</v>
      </c>
      <c r="C142">
        <v>2015</v>
      </c>
      <c r="D142">
        <v>3288.222697255384</v>
      </c>
      <c r="E142">
        <v>6.3631206119664601</v>
      </c>
      <c r="F142">
        <v>4.5140000000000002</v>
      </c>
      <c r="G142">
        <v>261799249</v>
      </c>
    </row>
    <row r="143" spans="1:7" x14ac:dyDescent="0.3">
      <c r="A143" t="s">
        <v>91</v>
      </c>
      <c r="B143" t="s">
        <v>70</v>
      </c>
      <c r="C143">
        <v>2016</v>
      </c>
      <c r="D143">
        <v>3521.469434575738</v>
      </c>
      <c r="E143">
        <v>3.5258045281545098</v>
      </c>
      <c r="F143">
        <v>4.3010000000000002</v>
      </c>
      <c r="G143">
        <v>264627418</v>
      </c>
    </row>
    <row r="144" spans="1:7" x14ac:dyDescent="0.3">
      <c r="A144" t="s">
        <v>91</v>
      </c>
      <c r="B144" t="s">
        <v>70</v>
      </c>
      <c r="C144">
        <v>2017</v>
      </c>
      <c r="D144">
        <v>3798.8832617452576</v>
      </c>
      <c r="E144">
        <v>3.8087985769194801</v>
      </c>
      <c r="F144">
        <v>3.7829999999999999</v>
      </c>
      <c r="G144">
        <v>267346658</v>
      </c>
    </row>
    <row r="145" spans="1:7" x14ac:dyDescent="0.3">
      <c r="A145" t="s">
        <v>91</v>
      </c>
      <c r="B145" t="s">
        <v>70</v>
      </c>
      <c r="C145">
        <v>2018</v>
      </c>
      <c r="D145">
        <v>3860.9535309072558</v>
      </c>
      <c r="E145">
        <v>3.1983475592499602</v>
      </c>
      <c r="F145">
        <v>4.3869999999999996</v>
      </c>
      <c r="G145">
        <v>269951846</v>
      </c>
    </row>
    <row r="146" spans="1:7" x14ac:dyDescent="0.3">
      <c r="A146" t="s">
        <v>91</v>
      </c>
      <c r="B146" t="s">
        <v>70</v>
      </c>
      <c r="C146">
        <v>2019</v>
      </c>
      <c r="D146">
        <v>4106.9485616035772</v>
      </c>
      <c r="E146">
        <v>3.0305846094166</v>
      </c>
      <c r="F146">
        <v>3.59</v>
      </c>
      <c r="G146">
        <v>272489381</v>
      </c>
    </row>
    <row r="147" spans="1:7" x14ac:dyDescent="0.3">
      <c r="A147" t="s">
        <v>91</v>
      </c>
      <c r="B147" t="s">
        <v>70</v>
      </c>
      <c r="C147">
        <v>2020</v>
      </c>
      <c r="D147">
        <v>3853.7028877414587</v>
      </c>
      <c r="E147">
        <v>1.91983527270792</v>
      </c>
      <c r="F147">
        <v>4.2549999999999999</v>
      </c>
      <c r="G147">
        <v>274814866</v>
      </c>
    </row>
    <row r="148" spans="1:7" x14ac:dyDescent="0.3">
      <c r="A148" t="s">
        <v>91</v>
      </c>
      <c r="B148" t="s">
        <v>70</v>
      </c>
      <c r="C148">
        <v>2021</v>
      </c>
      <c r="D148">
        <v>4287.1731399509836</v>
      </c>
      <c r="E148">
        <v>1.5600788298333399</v>
      </c>
      <c r="F148">
        <v>3.827</v>
      </c>
      <c r="G148">
        <v>276758053</v>
      </c>
    </row>
    <row r="149" spans="1:7" x14ac:dyDescent="0.3">
      <c r="A149" t="s">
        <v>91</v>
      </c>
      <c r="B149" t="s">
        <v>70</v>
      </c>
      <c r="C149">
        <v>2022</v>
      </c>
      <c r="D149">
        <v>4730.8348483610689</v>
      </c>
      <c r="E149">
        <v>4.2094646371478399</v>
      </c>
      <c r="F149">
        <v>3.4620000000000002</v>
      </c>
      <c r="G149">
        <v>278830529</v>
      </c>
    </row>
    <row r="150" spans="1:7" x14ac:dyDescent="0.3">
      <c r="A150" t="s">
        <v>91</v>
      </c>
      <c r="B150" t="s">
        <v>70</v>
      </c>
      <c r="C150">
        <v>2023</v>
      </c>
      <c r="D150">
        <v>4876.2992959842977</v>
      </c>
      <c r="E150">
        <v>3.6693865485976098</v>
      </c>
      <c r="F150">
        <v>3.3079999999999998</v>
      </c>
      <c r="G150">
        <v>281190067</v>
      </c>
    </row>
    <row r="151" spans="1:7" x14ac:dyDescent="0.3">
      <c r="A151" t="s">
        <v>91</v>
      </c>
      <c r="B151" t="s">
        <v>70</v>
      </c>
      <c r="C151">
        <v>2024</v>
      </c>
      <c r="D151">
        <v>4925.4364499266594</v>
      </c>
      <c r="E151">
        <v>2.18151273615188</v>
      </c>
      <c r="F151">
        <v>3.3010000000000002</v>
      </c>
      <c r="G151">
        <v>283487931</v>
      </c>
    </row>
    <row r="152" spans="1:7" x14ac:dyDescent="0.3">
      <c r="A152" t="s">
        <v>120</v>
      </c>
      <c r="B152" t="s">
        <v>68</v>
      </c>
      <c r="C152">
        <v>2000</v>
      </c>
      <c r="D152">
        <v>26334.567205050083</v>
      </c>
      <c r="E152">
        <v>5.5634402497870701</v>
      </c>
      <c r="F152">
        <v>4.3179999999999996</v>
      </c>
      <c r="G152">
        <v>3805174</v>
      </c>
    </row>
    <row r="153" spans="1:7" x14ac:dyDescent="0.3">
      <c r="A153" t="s">
        <v>120</v>
      </c>
      <c r="B153" t="s">
        <v>68</v>
      </c>
      <c r="C153">
        <v>2001</v>
      </c>
      <c r="D153">
        <v>28282.40988207296</v>
      </c>
      <c r="E153">
        <v>4.8668997042215798</v>
      </c>
      <c r="F153">
        <v>3.6840000000000002</v>
      </c>
      <c r="G153">
        <v>3866243</v>
      </c>
    </row>
    <row r="154" spans="1:7" x14ac:dyDescent="0.3">
      <c r="A154" t="s">
        <v>120</v>
      </c>
      <c r="B154" t="s">
        <v>68</v>
      </c>
      <c r="C154">
        <v>2002</v>
      </c>
      <c r="D154">
        <v>32705.434556569817</v>
      </c>
      <c r="E154">
        <v>4.62820512820515</v>
      </c>
      <c r="F154">
        <v>4.2160000000000002</v>
      </c>
      <c r="G154">
        <v>3931947</v>
      </c>
    </row>
    <row r="155" spans="1:7" x14ac:dyDescent="0.3">
      <c r="A155" t="s">
        <v>120</v>
      </c>
      <c r="B155" t="s">
        <v>68</v>
      </c>
      <c r="C155">
        <v>2003</v>
      </c>
      <c r="D155">
        <v>41203.529584756849</v>
      </c>
      <c r="E155">
        <v>3.4922190907976498</v>
      </c>
      <c r="F155">
        <v>4.4779999999999998</v>
      </c>
      <c r="G155">
        <v>3996521</v>
      </c>
    </row>
    <row r="156" spans="1:7" x14ac:dyDescent="0.3">
      <c r="A156" t="s">
        <v>120</v>
      </c>
      <c r="B156" t="s">
        <v>68</v>
      </c>
      <c r="C156">
        <v>2004</v>
      </c>
      <c r="D156">
        <v>47754.202319424396</v>
      </c>
      <c r="E156">
        <v>2.17854605730522</v>
      </c>
      <c r="F156">
        <v>4.4909999999999997</v>
      </c>
      <c r="G156">
        <v>4070262</v>
      </c>
    </row>
    <row r="157" spans="1:7" x14ac:dyDescent="0.3">
      <c r="A157" t="s">
        <v>120</v>
      </c>
      <c r="B157" t="s">
        <v>68</v>
      </c>
      <c r="C157">
        <v>2005</v>
      </c>
      <c r="D157">
        <v>50933.021609558884</v>
      </c>
      <c r="E157">
        <v>2.4565469293163802</v>
      </c>
      <c r="F157">
        <v>4.2370000000000001</v>
      </c>
      <c r="G157">
        <v>4159914</v>
      </c>
    </row>
    <row r="158" spans="1:7" x14ac:dyDescent="0.3">
      <c r="A158" t="s">
        <v>120</v>
      </c>
      <c r="B158" t="s">
        <v>68</v>
      </c>
      <c r="C158">
        <v>2006</v>
      </c>
      <c r="D158">
        <v>54329.161859962383</v>
      </c>
      <c r="E158">
        <v>3.9357611400135299</v>
      </c>
      <c r="F158">
        <v>4.3550000000000004</v>
      </c>
      <c r="G158">
        <v>4273591</v>
      </c>
    </row>
    <row r="159" spans="1:7" x14ac:dyDescent="0.3">
      <c r="A159" t="s">
        <v>120</v>
      </c>
      <c r="B159" t="s">
        <v>68</v>
      </c>
      <c r="C159">
        <v>2007</v>
      </c>
      <c r="D159">
        <v>61396.417461175995</v>
      </c>
      <c r="E159">
        <v>4.8857453754080096</v>
      </c>
      <c r="F159">
        <v>4.9800000000000004</v>
      </c>
      <c r="G159">
        <v>4398942</v>
      </c>
    </row>
    <row r="160" spans="1:7" x14ac:dyDescent="0.3">
      <c r="A160" t="s">
        <v>120</v>
      </c>
      <c r="B160" t="s">
        <v>68</v>
      </c>
      <c r="C160">
        <v>2008</v>
      </c>
      <c r="D160">
        <v>61353.106562952322</v>
      </c>
      <c r="E160">
        <v>4.0356883494139097</v>
      </c>
      <c r="F160">
        <v>6.774</v>
      </c>
      <c r="G160">
        <v>4489544</v>
      </c>
    </row>
    <row r="161" spans="1:7" x14ac:dyDescent="0.3">
      <c r="A161" t="s">
        <v>120</v>
      </c>
      <c r="B161" t="s">
        <v>68</v>
      </c>
      <c r="C161">
        <v>2009</v>
      </c>
      <c r="D161">
        <v>52133.090616254391</v>
      </c>
      <c r="E161">
        <v>-4.4475468687674597</v>
      </c>
      <c r="F161">
        <v>12.609</v>
      </c>
      <c r="G161">
        <v>4535375</v>
      </c>
    </row>
    <row r="162" spans="1:7" x14ac:dyDescent="0.3">
      <c r="A162" t="s">
        <v>120</v>
      </c>
      <c r="B162" t="s">
        <v>68</v>
      </c>
      <c r="C162">
        <v>2010</v>
      </c>
      <c r="D162">
        <v>48623.966642248728</v>
      </c>
      <c r="E162">
        <v>-0.91838864537677301</v>
      </c>
      <c r="F162">
        <v>14.534000000000001</v>
      </c>
      <c r="G162">
        <v>4560155</v>
      </c>
    </row>
    <row r="163" spans="1:7" x14ac:dyDescent="0.3">
      <c r="A163" t="s">
        <v>120</v>
      </c>
      <c r="B163" t="s">
        <v>68</v>
      </c>
      <c r="C163">
        <v>2011</v>
      </c>
      <c r="D163">
        <v>52613.854035568875</v>
      </c>
      <c r="E163">
        <v>2.5489783020855001</v>
      </c>
      <c r="F163">
        <v>15.353999999999999</v>
      </c>
      <c r="G163">
        <v>4580084</v>
      </c>
    </row>
    <row r="164" spans="1:7" x14ac:dyDescent="0.3">
      <c r="A164" t="s">
        <v>120</v>
      </c>
      <c r="B164" t="s">
        <v>68</v>
      </c>
      <c r="C164">
        <v>2012</v>
      </c>
      <c r="D164">
        <v>49335.840809955524</v>
      </c>
      <c r="E164">
        <v>1.69474116680366</v>
      </c>
      <c r="F164">
        <v>15.451000000000001</v>
      </c>
      <c r="G164">
        <v>4599533</v>
      </c>
    </row>
    <row r="165" spans="1:7" x14ac:dyDescent="0.3">
      <c r="A165" t="s">
        <v>120</v>
      </c>
      <c r="B165" t="s">
        <v>68</v>
      </c>
      <c r="C165">
        <v>2013</v>
      </c>
      <c r="D165">
        <v>52537.610864869188</v>
      </c>
      <c r="E165">
        <v>0.515099484900573</v>
      </c>
      <c r="F165">
        <v>13.734999999999999</v>
      </c>
      <c r="G165">
        <v>4623816</v>
      </c>
    </row>
    <row r="166" spans="1:7" x14ac:dyDescent="0.3">
      <c r="A166" t="s">
        <v>120</v>
      </c>
      <c r="B166" t="s">
        <v>68</v>
      </c>
      <c r="C166">
        <v>2014</v>
      </c>
      <c r="D166">
        <v>57214.537978570908</v>
      </c>
      <c r="E166">
        <v>0.190916398713744</v>
      </c>
      <c r="F166">
        <v>11.858000000000001</v>
      </c>
      <c r="G166">
        <v>4657740</v>
      </c>
    </row>
    <row r="167" spans="1:7" x14ac:dyDescent="0.3">
      <c r="A167" t="s">
        <v>120</v>
      </c>
      <c r="B167" t="s">
        <v>68</v>
      </c>
      <c r="C167">
        <v>2015</v>
      </c>
      <c r="D167">
        <v>64250.138518125656</v>
      </c>
      <c r="E167">
        <v>-0.330959783371787</v>
      </c>
      <c r="F167">
        <v>9.9079999999999995</v>
      </c>
      <c r="G167">
        <v>4701957</v>
      </c>
    </row>
    <row r="168" spans="1:7" x14ac:dyDescent="0.3">
      <c r="A168" t="s">
        <v>120</v>
      </c>
      <c r="B168" t="s">
        <v>68</v>
      </c>
      <c r="C168">
        <v>2016</v>
      </c>
      <c r="D168">
        <v>64129.557154238319</v>
      </c>
      <c r="E168">
        <v>2.01247735963236E-2</v>
      </c>
      <c r="F168">
        <v>8.3740000000000006</v>
      </c>
      <c r="G168">
        <v>4762722</v>
      </c>
    </row>
    <row r="169" spans="1:7" x14ac:dyDescent="0.3">
      <c r="A169" t="s">
        <v>120</v>
      </c>
      <c r="B169" t="s">
        <v>68</v>
      </c>
      <c r="C169">
        <v>2017</v>
      </c>
      <c r="D169">
        <v>72161.4047531385</v>
      </c>
      <c r="E169">
        <v>0.36217303822937702</v>
      </c>
      <c r="F169">
        <v>6.7130000000000001</v>
      </c>
      <c r="G169">
        <v>4827445</v>
      </c>
    </row>
    <row r="170" spans="1:7" x14ac:dyDescent="0.3">
      <c r="A170" t="s">
        <v>120</v>
      </c>
      <c r="B170" t="s">
        <v>68</v>
      </c>
      <c r="C170">
        <v>2018</v>
      </c>
      <c r="D170">
        <v>80804.112316482628</v>
      </c>
      <c r="E170">
        <v>0.47113071371291498</v>
      </c>
      <c r="F170">
        <v>5.7409999999999997</v>
      </c>
      <c r="G170">
        <v>4898022</v>
      </c>
    </row>
    <row r="171" spans="1:7" x14ac:dyDescent="0.3">
      <c r="A171" t="s">
        <v>120</v>
      </c>
      <c r="B171" t="s">
        <v>68</v>
      </c>
      <c r="C171">
        <v>2019</v>
      </c>
      <c r="D171">
        <v>81827.668887399603</v>
      </c>
      <c r="E171">
        <v>0.93784296118927302</v>
      </c>
      <c r="F171">
        <v>4.95</v>
      </c>
      <c r="G171">
        <v>4976456</v>
      </c>
    </row>
    <row r="172" spans="1:7" x14ac:dyDescent="0.3">
      <c r="A172" t="s">
        <v>120</v>
      </c>
      <c r="B172" t="s">
        <v>68</v>
      </c>
      <c r="C172">
        <v>2020</v>
      </c>
      <c r="D172">
        <v>86514.070610875409</v>
      </c>
      <c r="E172">
        <v>-0.32618365128003202</v>
      </c>
      <c r="F172">
        <v>5.6230000000000002</v>
      </c>
      <c r="G172">
        <v>5039747</v>
      </c>
    </row>
    <row r="173" spans="1:7" x14ac:dyDescent="0.3">
      <c r="A173" t="s">
        <v>120</v>
      </c>
      <c r="B173" t="s">
        <v>68</v>
      </c>
      <c r="C173">
        <v>2021</v>
      </c>
      <c r="D173">
        <v>103783.44628447875</v>
      </c>
      <c r="E173">
        <v>2.3403411344704299</v>
      </c>
      <c r="F173">
        <v>6.3570000000000002</v>
      </c>
      <c r="G173">
        <v>5110585</v>
      </c>
    </row>
    <row r="174" spans="1:7" x14ac:dyDescent="0.3">
      <c r="A174" t="s">
        <v>120</v>
      </c>
      <c r="B174" t="s">
        <v>68</v>
      </c>
      <c r="C174">
        <v>2022</v>
      </c>
      <c r="D174">
        <v>105190.68595273084</v>
      </c>
      <c r="E174">
        <v>7.8294573643410397</v>
      </c>
      <c r="F174">
        <v>4.4649999999999999</v>
      </c>
      <c r="G174">
        <v>5212836</v>
      </c>
    </row>
    <row r="175" spans="1:7" x14ac:dyDescent="0.3">
      <c r="A175" t="s">
        <v>120</v>
      </c>
      <c r="B175" t="s">
        <v>68</v>
      </c>
      <c r="C175">
        <v>2023</v>
      </c>
      <c r="D175">
        <v>106818.91713080389</v>
      </c>
      <c r="E175">
        <v>6.2994248741912404</v>
      </c>
      <c r="F175">
        <v>4.2430000000000003</v>
      </c>
      <c r="G175">
        <v>5311538</v>
      </c>
    </row>
    <row r="176" spans="1:7" x14ac:dyDescent="0.3">
      <c r="A176" t="s">
        <v>120</v>
      </c>
      <c r="B176" t="s">
        <v>68</v>
      </c>
      <c r="C176">
        <v>2024</v>
      </c>
      <c r="D176">
        <v>112894.95324080539</v>
      </c>
      <c r="E176">
        <v>2.1134499957731601</v>
      </c>
      <c r="F176">
        <v>4.3</v>
      </c>
      <c r="G176">
        <v>5395790</v>
      </c>
    </row>
    <row r="177" spans="1:7" x14ac:dyDescent="0.3">
      <c r="A177" t="s">
        <v>4</v>
      </c>
      <c r="B177" t="s">
        <v>106</v>
      </c>
      <c r="C177">
        <v>2000</v>
      </c>
      <c r="D177">
        <v>20190.00356360841</v>
      </c>
      <c r="E177">
        <v>2.5376871362644202</v>
      </c>
      <c r="F177">
        <v>10.834</v>
      </c>
      <c r="G177">
        <v>56942108</v>
      </c>
    </row>
    <row r="178" spans="1:7" x14ac:dyDescent="0.3">
      <c r="A178" t="s">
        <v>4</v>
      </c>
      <c r="B178" t="s">
        <v>106</v>
      </c>
      <c r="C178">
        <v>2001</v>
      </c>
      <c r="D178">
        <v>20570.438591786176</v>
      </c>
      <c r="E178">
        <v>2.7851645190571901</v>
      </c>
      <c r="F178">
        <v>9.5990000000000002</v>
      </c>
      <c r="G178">
        <v>56976981</v>
      </c>
    </row>
    <row r="179" spans="1:7" x14ac:dyDescent="0.3">
      <c r="A179" t="s">
        <v>4</v>
      </c>
      <c r="B179" t="s">
        <v>106</v>
      </c>
      <c r="C179">
        <v>2002</v>
      </c>
      <c r="D179">
        <v>22451.396437936848</v>
      </c>
      <c r="E179">
        <v>2.46532018051998</v>
      </c>
      <c r="F179">
        <v>9.2110000000000003</v>
      </c>
      <c r="G179">
        <v>57089824</v>
      </c>
    </row>
    <row r="180" spans="1:7" x14ac:dyDescent="0.3">
      <c r="A180" t="s">
        <v>4</v>
      </c>
      <c r="B180" t="s">
        <v>106</v>
      </c>
      <c r="C180">
        <v>2003</v>
      </c>
      <c r="D180">
        <v>27577.570031985477</v>
      </c>
      <c r="E180">
        <v>2.6725583851331298</v>
      </c>
      <c r="F180">
        <v>8.8689999999999998</v>
      </c>
      <c r="G180">
        <v>57399184</v>
      </c>
    </row>
    <row r="181" spans="1:7" x14ac:dyDescent="0.3">
      <c r="A181" t="s">
        <v>4</v>
      </c>
      <c r="B181" t="s">
        <v>106</v>
      </c>
      <c r="C181">
        <v>2004</v>
      </c>
      <c r="D181">
        <v>31348.190184144543</v>
      </c>
      <c r="E181">
        <v>2.2067358779244701</v>
      </c>
      <c r="F181">
        <v>7.8659999999999997</v>
      </c>
      <c r="G181">
        <v>57828179</v>
      </c>
    </row>
    <row r="182" spans="1:7" x14ac:dyDescent="0.3">
      <c r="A182" t="s">
        <v>4</v>
      </c>
      <c r="B182" t="s">
        <v>106</v>
      </c>
      <c r="C182">
        <v>2005</v>
      </c>
      <c r="D182">
        <v>32062.723833669032</v>
      </c>
      <c r="E182">
        <v>1.9852951636120499</v>
      </c>
      <c r="F182">
        <v>7.73</v>
      </c>
      <c r="G182">
        <v>58166682</v>
      </c>
    </row>
    <row r="183" spans="1:7" x14ac:dyDescent="0.3">
      <c r="A183" t="s">
        <v>4</v>
      </c>
      <c r="B183" t="s">
        <v>106</v>
      </c>
      <c r="C183">
        <v>2006</v>
      </c>
      <c r="D183">
        <v>33537.128699426947</v>
      </c>
      <c r="E183">
        <v>2.09084154117072</v>
      </c>
      <c r="F183">
        <v>6.7770000000000001</v>
      </c>
      <c r="G183">
        <v>58399861</v>
      </c>
    </row>
    <row r="184" spans="1:7" x14ac:dyDescent="0.3">
      <c r="A184" t="s">
        <v>4</v>
      </c>
      <c r="B184" t="s">
        <v>106</v>
      </c>
      <c r="C184">
        <v>2007</v>
      </c>
      <c r="D184">
        <v>37826.175455482276</v>
      </c>
      <c r="E184">
        <v>1.8297392906679399</v>
      </c>
      <c r="F184">
        <v>6.0759999999999996</v>
      </c>
      <c r="G184">
        <v>58756247</v>
      </c>
    </row>
    <row r="185" spans="1:7" x14ac:dyDescent="0.3">
      <c r="A185" t="s">
        <v>4</v>
      </c>
      <c r="B185" t="s">
        <v>106</v>
      </c>
      <c r="C185">
        <v>2008</v>
      </c>
      <c r="D185">
        <v>40828.579558093719</v>
      </c>
      <c r="E185">
        <v>3.34783416446058</v>
      </c>
      <c r="F185">
        <v>6.7229999999999999</v>
      </c>
      <c r="G185">
        <v>59211181</v>
      </c>
    </row>
    <row r="186" spans="1:7" x14ac:dyDescent="0.3">
      <c r="A186" t="s">
        <v>4</v>
      </c>
      <c r="B186" t="s">
        <v>106</v>
      </c>
      <c r="C186">
        <v>2009</v>
      </c>
      <c r="D186">
        <v>37099.6133958219</v>
      </c>
      <c r="E186">
        <v>0.77476840513046696</v>
      </c>
      <c r="F186">
        <v>7.7489999999999997</v>
      </c>
      <c r="G186">
        <v>59555454</v>
      </c>
    </row>
    <row r="187" spans="1:7" x14ac:dyDescent="0.3">
      <c r="A187" t="s">
        <v>4</v>
      </c>
      <c r="B187" t="s">
        <v>106</v>
      </c>
      <c r="C187">
        <v>2010</v>
      </c>
      <c r="D187">
        <v>35856.862548553916</v>
      </c>
      <c r="E187">
        <v>1.5255152483765599</v>
      </c>
      <c r="F187">
        <v>8.3629999999999995</v>
      </c>
      <c r="G187">
        <v>59819407</v>
      </c>
    </row>
    <row r="188" spans="1:7" x14ac:dyDescent="0.3">
      <c r="A188" t="s">
        <v>4</v>
      </c>
      <c r="B188" t="s">
        <v>106</v>
      </c>
      <c r="C188">
        <v>2011</v>
      </c>
      <c r="D188">
        <v>38432.37428200186</v>
      </c>
      <c r="E188">
        <v>2.7805745844426002</v>
      </c>
      <c r="F188">
        <v>8.359</v>
      </c>
      <c r="G188">
        <v>60026841</v>
      </c>
    </row>
    <row r="189" spans="1:7" x14ac:dyDescent="0.3">
      <c r="A189" t="s">
        <v>4</v>
      </c>
      <c r="B189" t="s">
        <v>106</v>
      </c>
      <c r="C189">
        <v>2012</v>
      </c>
      <c r="D189">
        <v>34854.394944196458</v>
      </c>
      <c r="E189">
        <v>3.0413611208225801</v>
      </c>
      <c r="F189">
        <v>10.654999999999999</v>
      </c>
      <c r="G189">
        <v>60191247</v>
      </c>
    </row>
    <row r="190" spans="1:7" x14ac:dyDescent="0.3">
      <c r="A190" t="s">
        <v>4</v>
      </c>
      <c r="B190" t="s">
        <v>106</v>
      </c>
      <c r="C190">
        <v>2013</v>
      </c>
      <c r="D190">
        <v>35701.674600237551</v>
      </c>
      <c r="E190">
        <v>1.21999478919838</v>
      </c>
      <c r="F190">
        <v>12.148999999999999</v>
      </c>
      <c r="G190">
        <v>60311613</v>
      </c>
    </row>
    <row r="191" spans="1:7" x14ac:dyDescent="0.3">
      <c r="A191" t="s">
        <v>4</v>
      </c>
      <c r="B191" t="s">
        <v>106</v>
      </c>
      <c r="C191">
        <v>2014</v>
      </c>
      <c r="D191">
        <v>36028.349402234882</v>
      </c>
      <c r="E191">
        <v>0.24105662726226501</v>
      </c>
      <c r="F191">
        <v>12.683</v>
      </c>
      <c r="G191">
        <v>60320707</v>
      </c>
    </row>
    <row r="192" spans="1:7" x14ac:dyDescent="0.3">
      <c r="A192" t="s">
        <v>4</v>
      </c>
      <c r="B192" t="s">
        <v>106</v>
      </c>
      <c r="C192">
        <v>2015</v>
      </c>
      <c r="D192">
        <v>30639.882975143213</v>
      </c>
      <c r="E192">
        <v>3.8788054612378303E-2</v>
      </c>
      <c r="F192">
        <v>11.896000000000001</v>
      </c>
      <c r="G192">
        <v>60229605</v>
      </c>
    </row>
    <row r="193" spans="1:7" x14ac:dyDescent="0.3">
      <c r="A193" t="s">
        <v>4</v>
      </c>
      <c r="B193" t="s">
        <v>106</v>
      </c>
      <c r="C193">
        <v>2016</v>
      </c>
      <c r="D193">
        <v>31391.569289810846</v>
      </c>
      <c r="E193">
        <v>-9.4066386793201506E-2</v>
      </c>
      <c r="F193">
        <v>11.688000000000001</v>
      </c>
      <c r="G193">
        <v>60115223</v>
      </c>
    </row>
    <row r="194" spans="1:7" x14ac:dyDescent="0.3">
      <c r="A194" t="s">
        <v>4</v>
      </c>
      <c r="B194" t="s">
        <v>106</v>
      </c>
      <c r="C194">
        <v>2017</v>
      </c>
      <c r="D194">
        <v>32844.115660604024</v>
      </c>
      <c r="E194">
        <v>1.2265288140113499</v>
      </c>
      <c r="F194">
        <v>11.211</v>
      </c>
      <c r="G194">
        <v>60002252</v>
      </c>
    </row>
    <row r="195" spans="1:7" x14ac:dyDescent="0.3">
      <c r="A195" t="s">
        <v>4</v>
      </c>
      <c r="B195" t="s">
        <v>106</v>
      </c>
      <c r="C195">
        <v>2018</v>
      </c>
      <c r="D195">
        <v>35062.336417694889</v>
      </c>
      <c r="E195">
        <v>1.1374858757867501</v>
      </c>
      <c r="F195">
        <v>10.538</v>
      </c>
      <c r="G195">
        <v>59877221</v>
      </c>
    </row>
    <row r="196" spans="1:7" x14ac:dyDescent="0.3">
      <c r="A196" t="s">
        <v>4</v>
      </c>
      <c r="B196" t="s">
        <v>106</v>
      </c>
      <c r="C196">
        <v>2019</v>
      </c>
      <c r="D196">
        <v>33812.788724867976</v>
      </c>
      <c r="E196">
        <v>0.61124944050639796</v>
      </c>
      <c r="F196">
        <v>9.8840000000000003</v>
      </c>
      <c r="G196">
        <v>59729081</v>
      </c>
    </row>
    <row r="197" spans="1:7" x14ac:dyDescent="0.3">
      <c r="A197" t="s">
        <v>4</v>
      </c>
      <c r="B197" t="s">
        <v>106</v>
      </c>
      <c r="C197">
        <v>2020</v>
      </c>
      <c r="D197">
        <v>32091.486662136638</v>
      </c>
      <c r="E197">
        <v>-0.13770725904821601</v>
      </c>
      <c r="F197">
        <v>9.1920000000000002</v>
      </c>
      <c r="G197">
        <v>59438851</v>
      </c>
    </row>
    <row r="198" spans="1:7" x14ac:dyDescent="0.3">
      <c r="A198" t="s">
        <v>4</v>
      </c>
      <c r="B198" t="s">
        <v>106</v>
      </c>
      <c r="C198">
        <v>2021</v>
      </c>
      <c r="D198">
        <v>36852.542541495095</v>
      </c>
      <c r="E198">
        <v>1.87378306224529</v>
      </c>
      <c r="F198">
        <v>9.4969999999999999</v>
      </c>
      <c r="G198">
        <v>59133173</v>
      </c>
    </row>
    <row r="199" spans="1:7" x14ac:dyDescent="0.3">
      <c r="A199" t="s">
        <v>4</v>
      </c>
      <c r="B199" t="s">
        <v>106</v>
      </c>
      <c r="C199">
        <v>2022</v>
      </c>
      <c r="D199">
        <v>35653.904210349501</v>
      </c>
      <c r="E199">
        <v>8.20128981173605</v>
      </c>
      <c r="F199">
        <v>8.0690000000000008</v>
      </c>
      <c r="G199">
        <v>59013667</v>
      </c>
    </row>
    <row r="200" spans="1:7" x14ac:dyDescent="0.3">
      <c r="A200" t="s">
        <v>4</v>
      </c>
      <c r="B200" t="s">
        <v>106</v>
      </c>
      <c r="C200">
        <v>2023</v>
      </c>
      <c r="D200">
        <v>39279.699782164018</v>
      </c>
      <c r="E200">
        <v>5.6221929221645697</v>
      </c>
      <c r="F200">
        <v>7.6269999999999998</v>
      </c>
      <c r="G200">
        <v>58984216</v>
      </c>
    </row>
    <row r="201" spans="1:7" x14ac:dyDescent="0.3">
      <c r="A201" t="s">
        <v>4</v>
      </c>
      <c r="B201" t="s">
        <v>106</v>
      </c>
      <c r="C201">
        <v>2024</v>
      </c>
      <c r="D201">
        <v>40429.622404735237</v>
      </c>
      <c r="E201">
        <v>0.98237511163771896</v>
      </c>
      <c r="F201">
        <v>6.5</v>
      </c>
      <c r="G201">
        <v>58952704</v>
      </c>
    </row>
    <row r="202" spans="1:7" x14ac:dyDescent="0.3">
      <c r="A202" t="s">
        <v>14</v>
      </c>
      <c r="B202" t="s">
        <v>30</v>
      </c>
      <c r="C202">
        <v>2000</v>
      </c>
      <c r="D202">
        <v>39752.93739775502</v>
      </c>
      <c r="E202">
        <v>-0.67657868359517503</v>
      </c>
      <c r="F202">
        <v>4.7480000000000002</v>
      </c>
      <c r="G202">
        <v>126843000</v>
      </c>
    </row>
    <row r="203" spans="1:7" x14ac:dyDescent="0.3">
      <c r="A203" t="s">
        <v>14</v>
      </c>
      <c r="B203" t="s">
        <v>30</v>
      </c>
      <c r="C203">
        <v>2001</v>
      </c>
      <c r="D203">
        <v>34910.166403686977</v>
      </c>
      <c r="E203">
        <v>-0.74005550416273702</v>
      </c>
      <c r="F203">
        <v>5.0199999999999996</v>
      </c>
      <c r="G203">
        <v>127149000</v>
      </c>
    </row>
    <row r="204" spans="1:7" x14ac:dyDescent="0.3">
      <c r="A204" t="s">
        <v>14</v>
      </c>
      <c r="B204" t="s">
        <v>30</v>
      </c>
      <c r="C204">
        <v>2002</v>
      </c>
      <c r="D204">
        <v>33315.916517496204</v>
      </c>
      <c r="E204">
        <v>-0.92349402694231997</v>
      </c>
      <c r="F204">
        <v>5.3860000000000001</v>
      </c>
      <c r="G204">
        <v>127445000</v>
      </c>
    </row>
    <row r="205" spans="1:7" x14ac:dyDescent="0.3">
      <c r="A205" t="s">
        <v>14</v>
      </c>
      <c r="B205" t="s">
        <v>30</v>
      </c>
      <c r="C205">
        <v>2003</v>
      </c>
      <c r="D205">
        <v>35808.681679238784</v>
      </c>
      <c r="E205">
        <v>-0.25654181631602402</v>
      </c>
      <c r="F205">
        <v>5.2510000000000003</v>
      </c>
      <c r="G205">
        <v>127718000</v>
      </c>
    </row>
    <row r="206" spans="1:7" x14ac:dyDescent="0.3">
      <c r="A206" t="s">
        <v>14</v>
      </c>
      <c r="B206" t="s">
        <v>30</v>
      </c>
      <c r="C206">
        <v>2004</v>
      </c>
      <c r="D206">
        <v>38677.570806478747</v>
      </c>
      <c r="E206">
        <v>-8.5733882031027095E-3</v>
      </c>
      <c r="F206">
        <v>4.734</v>
      </c>
      <c r="G206">
        <v>127761000</v>
      </c>
    </row>
    <row r="207" spans="1:7" x14ac:dyDescent="0.3">
      <c r="A207" t="s">
        <v>14</v>
      </c>
      <c r="B207" t="s">
        <v>30</v>
      </c>
      <c r="C207">
        <v>2005</v>
      </c>
      <c r="D207">
        <v>38158.675826396313</v>
      </c>
      <c r="E207">
        <v>-0.28294606876438999</v>
      </c>
      <c r="F207">
        <v>4.4459999999999997</v>
      </c>
      <c r="G207">
        <v>127773000</v>
      </c>
    </row>
    <row r="208" spans="1:7" x14ac:dyDescent="0.3">
      <c r="A208" t="s">
        <v>14</v>
      </c>
      <c r="B208" t="s">
        <v>30</v>
      </c>
      <c r="C208">
        <v>2006</v>
      </c>
      <c r="D208">
        <v>36354.427164634937</v>
      </c>
      <c r="E208">
        <v>0.249355116079084</v>
      </c>
      <c r="F208">
        <v>4.1920000000000002</v>
      </c>
      <c r="G208">
        <v>127854000</v>
      </c>
    </row>
    <row r="209" spans="1:7" x14ac:dyDescent="0.3">
      <c r="A209" t="s">
        <v>14</v>
      </c>
      <c r="B209" t="s">
        <v>30</v>
      </c>
      <c r="C209">
        <v>2007</v>
      </c>
      <c r="D209">
        <v>36129.95351329253</v>
      </c>
      <c r="E209">
        <v>6.0039454498668897E-2</v>
      </c>
      <c r="F209">
        <v>3.8879999999999999</v>
      </c>
      <c r="G209">
        <v>128001000</v>
      </c>
    </row>
    <row r="210" spans="1:7" x14ac:dyDescent="0.3">
      <c r="A210" t="s">
        <v>14</v>
      </c>
      <c r="B210" t="s">
        <v>30</v>
      </c>
      <c r="C210">
        <v>2008</v>
      </c>
      <c r="D210">
        <v>40294.208130970161</v>
      </c>
      <c r="E210">
        <v>1.3800788616491999</v>
      </c>
      <c r="F210">
        <v>4.0019999999999998</v>
      </c>
      <c r="G210">
        <v>128063000</v>
      </c>
    </row>
    <row r="211" spans="1:7" x14ac:dyDescent="0.3">
      <c r="A211" t="s">
        <v>14</v>
      </c>
      <c r="B211" t="s">
        <v>30</v>
      </c>
      <c r="C211">
        <v>2009</v>
      </c>
      <c r="D211">
        <v>41678.178306319511</v>
      </c>
      <c r="E211">
        <v>-1.3528367295171799</v>
      </c>
      <c r="F211">
        <v>5.0679999999999996</v>
      </c>
      <c r="G211">
        <v>128047000</v>
      </c>
    </row>
    <row r="212" spans="1:7" x14ac:dyDescent="0.3">
      <c r="A212" t="s">
        <v>14</v>
      </c>
      <c r="B212" t="s">
        <v>30</v>
      </c>
      <c r="C212">
        <v>2010</v>
      </c>
      <c r="D212">
        <v>45378.137810939865</v>
      </c>
      <c r="E212">
        <v>-0.72824320751777805</v>
      </c>
      <c r="F212">
        <v>5.1020000000000003</v>
      </c>
      <c r="G212">
        <v>128070000</v>
      </c>
    </row>
    <row r="213" spans="1:7" x14ac:dyDescent="0.3">
      <c r="A213" t="s">
        <v>14</v>
      </c>
      <c r="B213" t="s">
        <v>30</v>
      </c>
      <c r="C213">
        <v>2011</v>
      </c>
      <c r="D213">
        <v>49122.077634247042</v>
      </c>
      <c r="E213">
        <v>-0.27245561610123997</v>
      </c>
      <c r="F213">
        <v>4.55</v>
      </c>
      <c r="G213">
        <v>127833000</v>
      </c>
    </row>
    <row r="214" spans="1:7" x14ac:dyDescent="0.3">
      <c r="A214" t="s">
        <v>14</v>
      </c>
      <c r="B214" t="s">
        <v>30</v>
      </c>
      <c r="C214">
        <v>2012</v>
      </c>
      <c r="D214">
        <v>49626.683032757101</v>
      </c>
      <c r="E214">
        <v>-4.4064510443260103E-2</v>
      </c>
      <c r="F214">
        <v>4.3579999999999997</v>
      </c>
      <c r="G214">
        <v>127629000</v>
      </c>
    </row>
    <row r="215" spans="1:7" x14ac:dyDescent="0.3">
      <c r="A215" t="s">
        <v>14</v>
      </c>
      <c r="B215" t="s">
        <v>30</v>
      </c>
      <c r="C215">
        <v>2013</v>
      </c>
      <c r="D215">
        <v>41369.19484794981</v>
      </c>
      <c r="E215">
        <v>0.33503791218474099</v>
      </c>
      <c r="F215">
        <v>4.0380000000000003</v>
      </c>
      <c r="G215">
        <v>127445000</v>
      </c>
    </row>
    <row r="216" spans="1:7" x14ac:dyDescent="0.3">
      <c r="A216" t="s">
        <v>14</v>
      </c>
      <c r="B216" t="s">
        <v>30</v>
      </c>
      <c r="C216">
        <v>2014</v>
      </c>
      <c r="D216">
        <v>39172.847116194796</v>
      </c>
      <c r="E216">
        <v>2.7592267135325299</v>
      </c>
      <c r="F216">
        <v>3.589</v>
      </c>
      <c r="G216">
        <v>127276000</v>
      </c>
    </row>
    <row r="217" spans="1:7" x14ac:dyDescent="0.3">
      <c r="A217" t="s">
        <v>14</v>
      </c>
      <c r="B217" t="s">
        <v>30</v>
      </c>
      <c r="C217">
        <v>2015</v>
      </c>
      <c r="D217">
        <v>35664.644611061267</v>
      </c>
      <c r="E217">
        <v>0.79527963057983897</v>
      </c>
      <c r="F217">
        <v>3.3849999999999998</v>
      </c>
      <c r="G217">
        <v>127141000</v>
      </c>
    </row>
    <row r="218" spans="1:7" x14ac:dyDescent="0.3">
      <c r="A218" t="s">
        <v>14</v>
      </c>
      <c r="B218" t="s">
        <v>30</v>
      </c>
      <c r="C218">
        <v>2016</v>
      </c>
      <c r="D218">
        <v>40214.968863156188</v>
      </c>
      <c r="E218">
        <v>-0.127258844489753</v>
      </c>
      <c r="F218">
        <v>3.1320000000000001</v>
      </c>
      <c r="G218">
        <v>127076000</v>
      </c>
    </row>
    <row r="219" spans="1:7" x14ac:dyDescent="0.3">
      <c r="A219" t="s">
        <v>14</v>
      </c>
      <c r="B219" t="s">
        <v>30</v>
      </c>
      <c r="C219">
        <v>2017</v>
      </c>
      <c r="D219">
        <v>39679.86352629483</v>
      </c>
      <c r="E219">
        <v>0.48419979612638497</v>
      </c>
      <c r="F219">
        <v>2.8220000000000001</v>
      </c>
      <c r="G219">
        <v>126972000</v>
      </c>
    </row>
    <row r="220" spans="1:7" x14ac:dyDescent="0.3">
      <c r="A220" t="s">
        <v>14</v>
      </c>
      <c r="B220" t="s">
        <v>30</v>
      </c>
      <c r="C220">
        <v>2018</v>
      </c>
      <c r="D220">
        <v>40645.47808651896</v>
      </c>
      <c r="E220">
        <v>0.98909459802184796</v>
      </c>
      <c r="F220">
        <v>2.4670000000000001</v>
      </c>
      <c r="G220">
        <v>126811000</v>
      </c>
    </row>
    <row r="221" spans="1:7" x14ac:dyDescent="0.3">
      <c r="A221" t="s">
        <v>14</v>
      </c>
      <c r="B221" t="s">
        <v>30</v>
      </c>
      <c r="C221">
        <v>2019</v>
      </c>
      <c r="D221">
        <v>41424.865560154343</v>
      </c>
      <c r="E221">
        <v>0.46877615938394901</v>
      </c>
      <c r="F221">
        <v>2.351</v>
      </c>
      <c r="G221">
        <v>126633000</v>
      </c>
    </row>
    <row r="222" spans="1:7" x14ac:dyDescent="0.3">
      <c r="A222" t="s">
        <v>14</v>
      </c>
      <c r="B222" t="s">
        <v>30</v>
      </c>
      <c r="C222">
        <v>2020</v>
      </c>
      <c r="D222">
        <v>41098.973900455276</v>
      </c>
      <c r="E222">
        <v>-2.4995834027731E-2</v>
      </c>
      <c r="F222">
        <v>2.8090000000000002</v>
      </c>
      <c r="G222">
        <v>126261000</v>
      </c>
    </row>
    <row r="223" spans="1:7" x14ac:dyDescent="0.3">
      <c r="A223" t="s">
        <v>14</v>
      </c>
      <c r="B223" t="s">
        <v>30</v>
      </c>
      <c r="C223">
        <v>2021</v>
      </c>
      <c r="D223">
        <v>41580.739040705004</v>
      </c>
      <c r="E223">
        <v>-0.23335277939826299</v>
      </c>
      <c r="F223">
        <v>2.8079999999999998</v>
      </c>
      <c r="G223">
        <v>125681593</v>
      </c>
    </row>
    <row r="224" spans="1:7" x14ac:dyDescent="0.3">
      <c r="A224" t="s">
        <v>14</v>
      </c>
      <c r="B224" t="s">
        <v>30</v>
      </c>
      <c r="C224">
        <v>2022</v>
      </c>
      <c r="D224">
        <v>35548.264522243298</v>
      </c>
      <c r="E224">
        <v>2.4977027817225399</v>
      </c>
      <c r="F224">
        <v>2.6139999999999999</v>
      </c>
      <c r="G224">
        <v>125124989</v>
      </c>
    </row>
    <row r="225" spans="1:7" x14ac:dyDescent="0.3">
      <c r="A225" t="s">
        <v>14</v>
      </c>
      <c r="B225" t="s">
        <v>30</v>
      </c>
      <c r="C225">
        <v>2023</v>
      </c>
      <c r="D225">
        <v>35215.003535365977</v>
      </c>
      <c r="E225">
        <v>3.2681336593316299</v>
      </c>
      <c r="F225">
        <v>2.6</v>
      </c>
      <c r="G225">
        <v>124516650</v>
      </c>
    </row>
    <row r="226" spans="1:7" x14ac:dyDescent="0.3">
      <c r="A226" t="s">
        <v>14</v>
      </c>
      <c r="B226" t="s">
        <v>30</v>
      </c>
      <c r="C226">
        <v>2024</v>
      </c>
      <c r="D226">
        <v>33797.10142878761</v>
      </c>
      <c r="E226">
        <v>2.7385368163524002</v>
      </c>
      <c r="F226">
        <v>2.5</v>
      </c>
      <c r="G226">
        <v>123975371</v>
      </c>
    </row>
    <row r="227" spans="1:7" x14ac:dyDescent="0.3">
      <c r="A227" t="s">
        <v>103</v>
      </c>
      <c r="B227" t="s">
        <v>54</v>
      </c>
      <c r="C227">
        <v>2000</v>
      </c>
      <c r="D227">
        <v>26225.16977341492</v>
      </c>
      <c r="E227">
        <v>2.3605242578350598</v>
      </c>
      <c r="F227">
        <v>2.7250000000000001</v>
      </c>
      <c r="G227">
        <v>15925513</v>
      </c>
    </row>
    <row r="228" spans="1:7" x14ac:dyDescent="0.3">
      <c r="A228" t="s">
        <v>103</v>
      </c>
      <c r="B228" t="s">
        <v>54</v>
      </c>
      <c r="C228">
        <v>2001</v>
      </c>
      <c r="D228">
        <v>26955.71280322782</v>
      </c>
      <c r="E228">
        <v>4.15583998647742</v>
      </c>
      <c r="F228">
        <v>2.1190000000000002</v>
      </c>
      <c r="G228">
        <v>16046180</v>
      </c>
    </row>
    <row r="229" spans="1:7" x14ac:dyDescent="0.3">
      <c r="A229" t="s">
        <v>103</v>
      </c>
      <c r="B229" t="s">
        <v>54</v>
      </c>
      <c r="C229">
        <v>2002</v>
      </c>
      <c r="D229">
        <v>29446.53308728684</v>
      </c>
      <c r="E229">
        <v>3.2875354185016201</v>
      </c>
      <c r="F229">
        <v>2.5539999999999998</v>
      </c>
      <c r="G229">
        <v>16148929</v>
      </c>
    </row>
    <row r="230" spans="1:7" x14ac:dyDescent="0.3">
      <c r="A230" t="s">
        <v>103</v>
      </c>
      <c r="B230" t="s">
        <v>54</v>
      </c>
      <c r="C230">
        <v>2003</v>
      </c>
      <c r="D230">
        <v>35896.750463070552</v>
      </c>
      <c r="E230">
        <v>2.0919945670734901</v>
      </c>
      <c r="F230">
        <v>3.593</v>
      </c>
      <c r="G230">
        <v>16225302</v>
      </c>
    </row>
    <row r="231" spans="1:7" x14ac:dyDescent="0.3">
      <c r="A231" t="s">
        <v>103</v>
      </c>
      <c r="B231" t="s">
        <v>54</v>
      </c>
      <c r="C231">
        <v>2004</v>
      </c>
      <c r="D231">
        <v>40611.341435309063</v>
      </c>
      <c r="E231">
        <v>1.2636479497031301</v>
      </c>
      <c r="F231">
        <v>4.6459999999999999</v>
      </c>
      <c r="G231">
        <v>16281779</v>
      </c>
    </row>
    <row r="232" spans="1:7" x14ac:dyDescent="0.3">
      <c r="A232" t="s">
        <v>103</v>
      </c>
      <c r="B232" t="s">
        <v>54</v>
      </c>
      <c r="C232">
        <v>2005</v>
      </c>
      <c r="D232">
        <v>42165.396168387968</v>
      </c>
      <c r="E232">
        <v>1.6881313636312101</v>
      </c>
      <c r="F232">
        <v>5.8719999999999999</v>
      </c>
      <c r="G232">
        <v>16319868</v>
      </c>
    </row>
    <row r="233" spans="1:7" x14ac:dyDescent="0.3">
      <c r="A233" t="s">
        <v>103</v>
      </c>
      <c r="B233" t="s">
        <v>54</v>
      </c>
      <c r="C233">
        <v>2006</v>
      </c>
      <c r="D233">
        <v>45123.543240642568</v>
      </c>
      <c r="E233">
        <v>1.10150138046139</v>
      </c>
      <c r="F233">
        <v>5.0069999999999997</v>
      </c>
      <c r="G233">
        <v>16346101</v>
      </c>
    </row>
    <row r="234" spans="1:7" x14ac:dyDescent="0.3">
      <c r="A234" t="s">
        <v>103</v>
      </c>
      <c r="B234" t="s">
        <v>54</v>
      </c>
      <c r="C234">
        <v>2007</v>
      </c>
      <c r="D234">
        <v>52100.79962859473</v>
      </c>
      <c r="E234">
        <v>1.6138561707203101</v>
      </c>
      <c r="F234">
        <v>4.1529999999999996</v>
      </c>
      <c r="G234">
        <v>16381696</v>
      </c>
    </row>
    <row r="235" spans="1:7" x14ac:dyDescent="0.3">
      <c r="A235" t="s">
        <v>103</v>
      </c>
      <c r="B235" t="s">
        <v>54</v>
      </c>
      <c r="C235">
        <v>2008</v>
      </c>
      <c r="D235">
        <v>58246.702690587445</v>
      </c>
      <c r="E235">
        <v>2.48650272563403</v>
      </c>
      <c r="F235">
        <v>3.6579999999999999</v>
      </c>
      <c r="G235">
        <v>16445593</v>
      </c>
    </row>
    <row r="236" spans="1:7" x14ac:dyDescent="0.3">
      <c r="A236" t="s">
        <v>103</v>
      </c>
      <c r="B236" t="s">
        <v>54</v>
      </c>
      <c r="C236">
        <v>2009</v>
      </c>
      <c r="D236">
        <v>53172.026158141831</v>
      </c>
      <c r="E236">
        <v>1.1897753827351001</v>
      </c>
      <c r="F236">
        <v>4.3520000000000003</v>
      </c>
      <c r="G236">
        <v>16530388</v>
      </c>
    </row>
    <row r="237" spans="1:7" x14ac:dyDescent="0.3">
      <c r="A237" t="s">
        <v>103</v>
      </c>
      <c r="B237" t="s">
        <v>54</v>
      </c>
      <c r="C237">
        <v>2010</v>
      </c>
      <c r="D237">
        <v>51305.733853397338</v>
      </c>
      <c r="E237">
        <v>1.2745772741866299</v>
      </c>
      <c r="F237">
        <v>4.9909999999999997</v>
      </c>
      <c r="G237">
        <v>16615394</v>
      </c>
    </row>
    <row r="238" spans="1:7" x14ac:dyDescent="0.3">
      <c r="A238" t="s">
        <v>103</v>
      </c>
      <c r="B238" t="s">
        <v>54</v>
      </c>
      <c r="C238">
        <v>2011</v>
      </c>
      <c r="D238">
        <v>54701.772803061118</v>
      </c>
      <c r="E238">
        <v>2.3420865862313298</v>
      </c>
      <c r="F238">
        <v>4.9770000000000003</v>
      </c>
      <c r="G238">
        <v>16693074</v>
      </c>
    </row>
    <row r="239" spans="1:7" x14ac:dyDescent="0.3">
      <c r="A239" t="s">
        <v>103</v>
      </c>
      <c r="B239" t="s">
        <v>54</v>
      </c>
      <c r="C239">
        <v>2012</v>
      </c>
      <c r="D239">
        <v>50473.944200268867</v>
      </c>
      <c r="E239">
        <v>2.4558802429575799</v>
      </c>
      <c r="F239">
        <v>5.8209999999999997</v>
      </c>
      <c r="G239">
        <v>16754962</v>
      </c>
    </row>
    <row r="240" spans="1:7" x14ac:dyDescent="0.3">
      <c r="A240" t="s">
        <v>103</v>
      </c>
      <c r="B240" t="s">
        <v>54</v>
      </c>
      <c r="C240">
        <v>2013</v>
      </c>
      <c r="D240">
        <v>52602.286052076568</v>
      </c>
      <c r="E240">
        <v>2.5113782238300901</v>
      </c>
      <c r="F240">
        <v>7.2409999999999997</v>
      </c>
      <c r="G240">
        <v>16804432</v>
      </c>
    </row>
    <row r="241" spans="1:7" x14ac:dyDescent="0.3">
      <c r="A241" t="s">
        <v>103</v>
      </c>
      <c r="B241" t="s">
        <v>54</v>
      </c>
      <c r="C241">
        <v>2014</v>
      </c>
      <c r="D241">
        <v>53457.223486432231</v>
      </c>
      <c r="E241">
        <v>0.97106167892349704</v>
      </c>
      <c r="F241">
        <v>7.4189999999999996</v>
      </c>
      <c r="G241">
        <v>16865008</v>
      </c>
    </row>
    <row r="242" spans="1:7" x14ac:dyDescent="0.3">
      <c r="A242" t="s">
        <v>103</v>
      </c>
      <c r="B242" t="s">
        <v>54</v>
      </c>
      <c r="C242">
        <v>2015</v>
      </c>
      <c r="D242">
        <v>45793.813543469711</v>
      </c>
      <c r="E242">
        <v>0.60093579119456897</v>
      </c>
      <c r="F242">
        <v>6.8719999999999999</v>
      </c>
      <c r="G242">
        <v>16939923</v>
      </c>
    </row>
    <row r="243" spans="1:7" x14ac:dyDescent="0.3">
      <c r="A243" t="s">
        <v>103</v>
      </c>
      <c r="B243" t="s">
        <v>54</v>
      </c>
      <c r="C243">
        <v>2016</v>
      </c>
      <c r="D243">
        <v>46808.529149250287</v>
      </c>
      <c r="E243">
        <v>0.319406464338503</v>
      </c>
      <c r="F243">
        <v>6.0069999999999997</v>
      </c>
      <c r="G243">
        <v>17030314</v>
      </c>
    </row>
    <row r="244" spans="1:7" x14ac:dyDescent="0.3">
      <c r="A244" t="s">
        <v>103</v>
      </c>
      <c r="B244" t="s">
        <v>54</v>
      </c>
      <c r="C244">
        <v>2017</v>
      </c>
      <c r="D244">
        <v>49513.681734638398</v>
      </c>
      <c r="E244">
        <v>1.3796878665669401</v>
      </c>
      <c r="F244">
        <v>4.8369999999999997</v>
      </c>
      <c r="G244">
        <v>17131296</v>
      </c>
    </row>
    <row r="245" spans="1:7" x14ac:dyDescent="0.3">
      <c r="A245" t="s">
        <v>103</v>
      </c>
      <c r="B245" t="s">
        <v>54</v>
      </c>
      <c r="C245">
        <v>2018</v>
      </c>
      <c r="D245">
        <v>53955.077002426588</v>
      </c>
      <c r="E245">
        <v>1.7036188125357901</v>
      </c>
      <c r="F245">
        <v>3.8319999999999999</v>
      </c>
      <c r="G245">
        <v>17231624</v>
      </c>
    </row>
    <row r="246" spans="1:7" x14ac:dyDescent="0.3">
      <c r="A246" t="s">
        <v>103</v>
      </c>
      <c r="B246" t="s">
        <v>54</v>
      </c>
      <c r="C246">
        <v>2019</v>
      </c>
      <c r="D246">
        <v>53554.900749147506</v>
      </c>
      <c r="E246">
        <v>2.6339740394825402</v>
      </c>
      <c r="F246">
        <v>3.379</v>
      </c>
      <c r="G246">
        <v>17344874</v>
      </c>
    </row>
    <row r="247" spans="1:7" x14ac:dyDescent="0.3">
      <c r="A247" t="s">
        <v>103</v>
      </c>
      <c r="B247" t="s">
        <v>54</v>
      </c>
      <c r="C247">
        <v>2020</v>
      </c>
      <c r="D247">
        <v>53467.927741373729</v>
      </c>
      <c r="E247">
        <v>1.26788070731057</v>
      </c>
      <c r="F247">
        <v>3.82</v>
      </c>
      <c r="G247">
        <v>17441500</v>
      </c>
    </row>
    <row r="248" spans="1:7" x14ac:dyDescent="0.3">
      <c r="A248" t="s">
        <v>103</v>
      </c>
      <c r="B248" t="s">
        <v>54</v>
      </c>
      <c r="C248">
        <v>2021</v>
      </c>
      <c r="D248">
        <v>60141.988091149229</v>
      </c>
      <c r="E248">
        <v>2.68123345078501</v>
      </c>
      <c r="F248">
        <v>4.2089999999999996</v>
      </c>
      <c r="G248">
        <v>17533044</v>
      </c>
    </row>
    <row r="249" spans="1:7" x14ac:dyDescent="0.3">
      <c r="A249" t="s">
        <v>103</v>
      </c>
      <c r="B249" t="s">
        <v>54</v>
      </c>
      <c r="C249">
        <v>2022</v>
      </c>
      <c r="D249">
        <v>59123.318556486993</v>
      </c>
      <c r="E249">
        <v>9.9981725517268707</v>
      </c>
      <c r="F249">
        <v>3.5259999999999998</v>
      </c>
      <c r="G249">
        <v>17700982</v>
      </c>
    </row>
    <row r="250" spans="1:7" x14ac:dyDescent="0.3">
      <c r="A250" t="s">
        <v>103</v>
      </c>
      <c r="B250" t="s">
        <v>54</v>
      </c>
      <c r="C250">
        <v>2023</v>
      </c>
      <c r="D250">
        <v>63515.603078001921</v>
      </c>
      <c r="E250">
        <v>3.8423199748953198</v>
      </c>
      <c r="F250">
        <v>3.5350000000000001</v>
      </c>
      <c r="G250">
        <v>17877117</v>
      </c>
    </row>
    <row r="251" spans="1:7" x14ac:dyDescent="0.3">
      <c r="A251" t="s">
        <v>103</v>
      </c>
      <c r="B251" t="s">
        <v>54</v>
      </c>
      <c r="C251">
        <v>2024</v>
      </c>
      <c r="D251">
        <v>67465.32081268754</v>
      </c>
      <c r="E251">
        <v>3.3463989547502502</v>
      </c>
      <c r="F251">
        <v>3.7</v>
      </c>
      <c r="G251">
        <v>17993485</v>
      </c>
    </row>
    <row r="252" spans="1:7" x14ac:dyDescent="0.3">
      <c r="A252" t="s">
        <v>5</v>
      </c>
      <c r="B252" t="s">
        <v>121</v>
      </c>
      <c r="C252">
        <v>2000</v>
      </c>
      <c r="D252">
        <v>1771.59411621094</v>
      </c>
      <c r="E252">
        <v>20.798760655870399</v>
      </c>
      <c r="F252">
        <v>10.581</v>
      </c>
      <c r="G252">
        <v>146596869</v>
      </c>
    </row>
    <row r="253" spans="1:7" x14ac:dyDescent="0.3">
      <c r="A253" t="s">
        <v>5</v>
      </c>
      <c r="B253" t="s">
        <v>121</v>
      </c>
      <c r="C253">
        <v>2001</v>
      </c>
      <c r="D253">
        <v>2100.3525390625</v>
      </c>
      <c r="E253">
        <v>21.477007211715801</v>
      </c>
      <c r="F253">
        <v>8.9779999999999998</v>
      </c>
      <c r="G253">
        <v>145976482</v>
      </c>
    </row>
    <row r="254" spans="1:7" x14ac:dyDescent="0.3">
      <c r="A254" t="s">
        <v>5</v>
      </c>
      <c r="B254" t="s">
        <v>121</v>
      </c>
      <c r="C254">
        <v>2002</v>
      </c>
      <c r="D254">
        <v>2377.52954101563</v>
      </c>
      <c r="E254">
        <v>15.7887307914462</v>
      </c>
      <c r="F254">
        <v>7.875</v>
      </c>
      <c r="G254">
        <v>145306497</v>
      </c>
    </row>
    <row r="255" spans="1:7" x14ac:dyDescent="0.3">
      <c r="A255" t="s">
        <v>5</v>
      </c>
      <c r="B255" t="s">
        <v>121</v>
      </c>
      <c r="C255">
        <v>2003</v>
      </c>
      <c r="D255">
        <v>2975.123046875</v>
      </c>
      <c r="E255">
        <v>13.663293022866499</v>
      </c>
      <c r="F255">
        <v>8.2100000000000009</v>
      </c>
      <c r="G255">
        <v>144648618</v>
      </c>
    </row>
    <row r="256" spans="1:7" x14ac:dyDescent="0.3">
      <c r="A256" t="s">
        <v>5</v>
      </c>
      <c r="B256" t="s">
        <v>121</v>
      </c>
      <c r="C256">
        <v>2004</v>
      </c>
      <c r="D256">
        <v>4102.36474609375</v>
      </c>
      <c r="E256">
        <v>10.888615732621499</v>
      </c>
      <c r="F256">
        <v>7.7629999999999999</v>
      </c>
      <c r="G256">
        <v>144067316</v>
      </c>
    </row>
    <row r="257" spans="1:7" x14ac:dyDescent="0.3">
      <c r="A257" t="s">
        <v>5</v>
      </c>
      <c r="B257" t="s">
        <v>121</v>
      </c>
      <c r="C257">
        <v>2005</v>
      </c>
      <c r="D257">
        <v>5323.455078125</v>
      </c>
      <c r="E257">
        <v>12.6853039507349</v>
      </c>
      <c r="F257">
        <v>7.1239999999999997</v>
      </c>
      <c r="G257">
        <v>143518814</v>
      </c>
    </row>
    <row r="258" spans="1:7" x14ac:dyDescent="0.3">
      <c r="A258" t="s">
        <v>5</v>
      </c>
      <c r="B258" t="s">
        <v>121</v>
      </c>
      <c r="C258">
        <v>2006</v>
      </c>
      <c r="D258">
        <v>6920.19970703125</v>
      </c>
      <c r="E258">
        <v>9.6686545478926398</v>
      </c>
      <c r="F258">
        <v>7.0549999999999997</v>
      </c>
      <c r="G258">
        <v>143049637</v>
      </c>
    </row>
    <row r="259" spans="1:7" x14ac:dyDescent="0.3">
      <c r="A259" t="s">
        <v>5</v>
      </c>
      <c r="B259" t="s">
        <v>121</v>
      </c>
      <c r="C259">
        <v>2007</v>
      </c>
      <c r="D259">
        <v>9101.2392578125</v>
      </c>
      <c r="E259">
        <v>9.0072986886107902</v>
      </c>
      <c r="F259">
        <v>6.0019999999999998</v>
      </c>
      <c r="G259">
        <v>142805114</v>
      </c>
    </row>
    <row r="260" spans="1:7" x14ac:dyDescent="0.3">
      <c r="A260" t="s">
        <v>5</v>
      </c>
      <c r="B260" t="s">
        <v>121</v>
      </c>
      <c r="C260">
        <v>2008</v>
      </c>
      <c r="D260">
        <v>11635.2841796875</v>
      </c>
      <c r="E260">
        <v>14.110767784044199</v>
      </c>
      <c r="F260">
        <v>6.2050000000000001</v>
      </c>
      <c r="G260">
        <v>142742366</v>
      </c>
    </row>
    <row r="261" spans="1:7" x14ac:dyDescent="0.3">
      <c r="A261" t="s">
        <v>5</v>
      </c>
      <c r="B261" t="s">
        <v>121</v>
      </c>
      <c r="C261">
        <v>2009</v>
      </c>
      <c r="D261">
        <v>8562.82421875</v>
      </c>
      <c r="E261">
        <v>11.6473295764117</v>
      </c>
      <c r="F261">
        <v>8.3010000000000002</v>
      </c>
      <c r="G261">
        <v>142785348</v>
      </c>
    </row>
    <row r="262" spans="1:7" x14ac:dyDescent="0.3">
      <c r="A262" t="s">
        <v>5</v>
      </c>
      <c r="B262" t="s">
        <v>121</v>
      </c>
      <c r="C262">
        <v>2010</v>
      </c>
      <c r="D262">
        <v>10674.990234375</v>
      </c>
      <c r="E262">
        <v>6.8493923025502399</v>
      </c>
      <c r="F262">
        <v>7.407</v>
      </c>
      <c r="G262">
        <v>142849468</v>
      </c>
    </row>
    <row r="263" spans="1:7" x14ac:dyDescent="0.3">
      <c r="A263" t="s">
        <v>5</v>
      </c>
      <c r="B263" t="s">
        <v>121</v>
      </c>
      <c r="C263">
        <v>2011</v>
      </c>
      <c r="D263">
        <v>14305.33203125</v>
      </c>
      <c r="E263">
        <v>8.4404648593257008</v>
      </c>
      <c r="F263">
        <v>6.5709999999999997</v>
      </c>
      <c r="G263">
        <v>143018195</v>
      </c>
    </row>
    <row r="264" spans="1:7" x14ac:dyDescent="0.3">
      <c r="A264" t="s">
        <v>5</v>
      </c>
      <c r="B264" t="s">
        <v>121</v>
      </c>
      <c r="C264">
        <v>2012</v>
      </c>
      <c r="D264">
        <v>15401.8515625</v>
      </c>
      <c r="E264">
        <v>5.0747430079914899</v>
      </c>
      <c r="F264">
        <v>5.484</v>
      </c>
      <c r="G264">
        <v>143378447</v>
      </c>
    </row>
    <row r="265" spans="1:7" x14ac:dyDescent="0.3">
      <c r="A265" t="s">
        <v>5</v>
      </c>
      <c r="B265" t="s">
        <v>121</v>
      </c>
      <c r="C265">
        <v>2013</v>
      </c>
      <c r="D265">
        <v>15941.4482421875</v>
      </c>
      <c r="E265">
        <v>6.7546683390348603</v>
      </c>
      <c r="F265">
        <v>5.5129999999999999</v>
      </c>
      <c r="G265">
        <v>143805638</v>
      </c>
    </row>
    <row r="266" spans="1:7" x14ac:dyDescent="0.3">
      <c r="A266" t="s">
        <v>5</v>
      </c>
      <c r="B266" t="s">
        <v>121</v>
      </c>
      <c r="C266">
        <v>2014</v>
      </c>
      <c r="D266">
        <v>14055.47265625</v>
      </c>
      <c r="E266">
        <v>7.8201697001384396</v>
      </c>
      <c r="F266">
        <v>5.2119999999999997</v>
      </c>
      <c r="G266">
        <v>144237223</v>
      </c>
    </row>
    <row r="267" spans="1:7" x14ac:dyDescent="0.3">
      <c r="A267" t="s">
        <v>5</v>
      </c>
      <c r="B267" t="s">
        <v>121</v>
      </c>
      <c r="C267">
        <v>2015</v>
      </c>
      <c r="D267">
        <v>9277.7138671875</v>
      </c>
      <c r="E267">
        <v>15.534395993570101</v>
      </c>
      <c r="F267">
        <v>5.6150000000000002</v>
      </c>
      <c r="G267">
        <v>144640716</v>
      </c>
    </row>
    <row r="268" spans="1:7" x14ac:dyDescent="0.3">
      <c r="A268" t="s">
        <v>5</v>
      </c>
      <c r="B268" t="s">
        <v>121</v>
      </c>
      <c r="C268">
        <v>2016</v>
      </c>
      <c r="D268">
        <v>8663.158203125</v>
      </c>
      <c r="E268">
        <v>7.0424372541370701</v>
      </c>
      <c r="F268">
        <v>5.5910000000000002</v>
      </c>
      <c r="G268">
        <v>145015460</v>
      </c>
    </row>
    <row r="269" spans="1:7" x14ac:dyDescent="0.3">
      <c r="A269" t="s">
        <v>5</v>
      </c>
      <c r="B269" t="s">
        <v>121</v>
      </c>
      <c r="C269">
        <v>2017</v>
      </c>
      <c r="D269">
        <v>10658.9130859375</v>
      </c>
      <c r="E269">
        <v>3.6833307233449499</v>
      </c>
      <c r="F269">
        <v>5.2380000000000004</v>
      </c>
      <c r="G269">
        <v>145293260</v>
      </c>
    </row>
    <row r="270" spans="1:7" x14ac:dyDescent="0.3">
      <c r="A270" t="s">
        <v>5</v>
      </c>
      <c r="B270" t="s">
        <v>121</v>
      </c>
      <c r="C270">
        <v>2018</v>
      </c>
      <c r="D270">
        <v>11211.8876953125</v>
      </c>
      <c r="E270">
        <v>2.8783138261498</v>
      </c>
      <c r="F270">
        <v>4.8710000000000004</v>
      </c>
      <c r="G270">
        <v>145398106</v>
      </c>
    </row>
    <row r="271" spans="1:7" x14ac:dyDescent="0.3">
      <c r="A271" t="s">
        <v>5</v>
      </c>
      <c r="B271" t="s">
        <v>121</v>
      </c>
      <c r="C271">
        <v>2019</v>
      </c>
      <c r="D271">
        <v>11447.701171875</v>
      </c>
      <c r="E271">
        <v>4.4720263183790303</v>
      </c>
      <c r="F271">
        <v>4.5129999999999999</v>
      </c>
      <c r="G271">
        <v>145453291</v>
      </c>
    </row>
    <row r="272" spans="1:7" x14ac:dyDescent="0.3">
      <c r="A272" t="s">
        <v>5</v>
      </c>
      <c r="B272" t="s">
        <v>121</v>
      </c>
      <c r="C272">
        <v>2020</v>
      </c>
      <c r="D272">
        <v>10108.3271484375</v>
      </c>
      <c r="E272">
        <v>3.3821979694806701</v>
      </c>
      <c r="F272">
        <v>5.62</v>
      </c>
      <c r="G272">
        <v>145245148</v>
      </c>
    </row>
    <row r="273" spans="1:7" x14ac:dyDescent="0.3">
      <c r="A273" t="s">
        <v>5</v>
      </c>
      <c r="B273" t="s">
        <v>121</v>
      </c>
      <c r="C273">
        <v>2021</v>
      </c>
      <c r="D273">
        <v>12425.029296875</v>
      </c>
      <c r="E273">
        <v>6.6944589195761202</v>
      </c>
      <c r="F273">
        <v>4.7489999999999997</v>
      </c>
      <c r="G273">
        <v>144746762</v>
      </c>
    </row>
    <row r="274" spans="1:7" x14ac:dyDescent="0.3">
      <c r="A274" t="s">
        <v>5</v>
      </c>
      <c r="B274" t="s">
        <v>121</v>
      </c>
      <c r="C274">
        <v>2022</v>
      </c>
      <c r="D274">
        <v>15625.6328125</v>
      </c>
      <c r="E274">
        <v>13.743679739823101</v>
      </c>
      <c r="F274">
        <v>3.867</v>
      </c>
      <c r="G274">
        <v>144236933</v>
      </c>
    </row>
    <row r="275" spans="1:7" x14ac:dyDescent="0.3">
      <c r="A275" t="s">
        <v>5</v>
      </c>
      <c r="B275" t="s">
        <v>121</v>
      </c>
      <c r="C275">
        <v>2023</v>
      </c>
      <c r="D275">
        <v>13986.9951171875</v>
      </c>
      <c r="E275">
        <v>5.8657193174896696</v>
      </c>
      <c r="F275">
        <v>3.0760000000000001</v>
      </c>
      <c r="G275">
        <v>143826130</v>
      </c>
    </row>
    <row r="276" spans="1:7" x14ac:dyDescent="0.3">
      <c r="A276" t="s">
        <v>5</v>
      </c>
      <c r="B276" t="s">
        <v>121</v>
      </c>
      <c r="C276">
        <v>2024</v>
      </c>
      <c r="D276">
        <v>14961.8974609375</v>
      </c>
      <c r="E276">
        <v>8.4348641049672306</v>
      </c>
      <c r="F276">
        <v>2.4300000000000002</v>
      </c>
      <c r="G276">
        <v>143669648</v>
      </c>
    </row>
    <row r="277" spans="1:7" x14ac:dyDescent="0.3">
      <c r="A277" t="s">
        <v>38</v>
      </c>
      <c r="B277" t="s">
        <v>84</v>
      </c>
      <c r="C277">
        <v>2000</v>
      </c>
      <c r="D277">
        <v>3217.8469344846712</v>
      </c>
      <c r="E277">
        <v>5.3389591359982704</v>
      </c>
      <c r="F277">
        <v>22.788</v>
      </c>
      <c r="G277">
        <v>47159719</v>
      </c>
    </row>
    <row r="278" spans="1:7" x14ac:dyDescent="0.3">
      <c r="A278" t="s">
        <v>38</v>
      </c>
      <c r="B278" t="s">
        <v>84</v>
      </c>
      <c r="C278">
        <v>2001</v>
      </c>
      <c r="D278">
        <v>2847.1519194590805</v>
      </c>
      <c r="E278">
        <v>5.7018948304960801</v>
      </c>
      <c r="F278">
        <v>22.652000000000001</v>
      </c>
      <c r="G278">
        <v>47566800</v>
      </c>
    </row>
    <row r="279" spans="1:7" x14ac:dyDescent="0.3">
      <c r="A279" t="s">
        <v>38</v>
      </c>
      <c r="B279" t="s">
        <v>84</v>
      </c>
      <c r="C279">
        <v>2002</v>
      </c>
      <c r="D279">
        <v>2688.2367603280636</v>
      </c>
      <c r="E279">
        <v>9.4947137809959994</v>
      </c>
      <c r="F279">
        <v>22.579000000000001</v>
      </c>
      <c r="G279">
        <v>48019415</v>
      </c>
    </row>
    <row r="280" spans="1:7" x14ac:dyDescent="0.3">
      <c r="A280" t="s">
        <v>38</v>
      </c>
      <c r="B280" t="s">
        <v>84</v>
      </c>
      <c r="C280">
        <v>2003</v>
      </c>
      <c r="D280">
        <v>4062.2175599378579</v>
      </c>
      <c r="E280">
        <v>5.6794241406879902</v>
      </c>
      <c r="F280">
        <v>22.678999999999998</v>
      </c>
      <c r="G280">
        <v>48500348</v>
      </c>
    </row>
    <row r="281" spans="1:7" x14ac:dyDescent="0.3">
      <c r="A281" t="s">
        <v>38</v>
      </c>
      <c r="B281" t="s">
        <v>84</v>
      </c>
      <c r="C281">
        <v>2004</v>
      </c>
      <c r="D281">
        <v>5221.4633373172119</v>
      </c>
      <c r="E281">
        <v>-0.69203943785768596</v>
      </c>
      <c r="F281">
        <v>22.567</v>
      </c>
      <c r="G281">
        <v>48991421</v>
      </c>
    </row>
    <row r="282" spans="1:7" x14ac:dyDescent="0.3">
      <c r="A282" t="s">
        <v>38</v>
      </c>
      <c r="B282" t="s">
        <v>84</v>
      </c>
      <c r="C282">
        <v>2005</v>
      </c>
      <c r="D282">
        <v>5836.876633251265</v>
      </c>
      <c r="E282">
        <v>2.0628530822342701</v>
      </c>
      <c r="F282">
        <v>22.472000000000001</v>
      </c>
      <c r="G282">
        <v>49490033</v>
      </c>
    </row>
    <row r="283" spans="1:7" x14ac:dyDescent="0.3">
      <c r="A283" t="s">
        <v>38</v>
      </c>
      <c r="B283" t="s">
        <v>84</v>
      </c>
      <c r="C283">
        <v>2006</v>
      </c>
      <c r="D283">
        <v>6077.3829338887572</v>
      </c>
      <c r="E283">
        <v>3.2439076541922902</v>
      </c>
      <c r="F283">
        <v>22.303999999999998</v>
      </c>
      <c r="G283">
        <v>49998277</v>
      </c>
    </row>
    <row r="284" spans="1:7" x14ac:dyDescent="0.3">
      <c r="A284" t="s">
        <v>38</v>
      </c>
      <c r="B284" t="s">
        <v>84</v>
      </c>
      <c r="C284">
        <v>2007</v>
      </c>
      <c r="D284">
        <v>6591.8553596056399</v>
      </c>
      <c r="E284">
        <v>6.1778121480938699</v>
      </c>
      <c r="F284">
        <v>22.26</v>
      </c>
      <c r="G284">
        <v>50528584</v>
      </c>
    </row>
    <row r="285" spans="1:7" x14ac:dyDescent="0.3">
      <c r="A285" t="s">
        <v>38</v>
      </c>
      <c r="B285" t="s">
        <v>84</v>
      </c>
      <c r="C285">
        <v>2008</v>
      </c>
      <c r="D285">
        <v>6184.7547432839883</v>
      </c>
      <c r="E285">
        <v>9.9099845600546601</v>
      </c>
      <c r="F285">
        <v>22.407</v>
      </c>
      <c r="G285">
        <v>51114599</v>
      </c>
    </row>
    <row r="286" spans="1:7" x14ac:dyDescent="0.3">
      <c r="A286" t="s">
        <v>38</v>
      </c>
      <c r="B286" t="s">
        <v>84</v>
      </c>
      <c r="C286">
        <v>2009</v>
      </c>
      <c r="D286">
        <v>6374.7056004299247</v>
      </c>
      <c r="E286">
        <v>7.2380952380952603</v>
      </c>
      <c r="F286">
        <v>23.523</v>
      </c>
      <c r="G286">
        <v>51728516</v>
      </c>
    </row>
    <row r="287" spans="1:7" x14ac:dyDescent="0.3">
      <c r="A287" t="s">
        <v>38</v>
      </c>
      <c r="B287" t="s">
        <v>84</v>
      </c>
      <c r="C287">
        <v>2010</v>
      </c>
      <c r="D287">
        <v>7973.4719577151691</v>
      </c>
      <c r="E287">
        <v>4.0674955595026301</v>
      </c>
      <c r="F287">
        <v>24.683</v>
      </c>
      <c r="G287">
        <v>52344051</v>
      </c>
    </row>
    <row r="288" spans="1:7" x14ac:dyDescent="0.3">
      <c r="A288" t="s">
        <v>38</v>
      </c>
      <c r="B288" t="s">
        <v>84</v>
      </c>
      <c r="C288">
        <v>2011</v>
      </c>
      <c r="D288">
        <v>8646.0557107163477</v>
      </c>
      <c r="E288">
        <v>5.0008533879502002</v>
      </c>
      <c r="F288">
        <v>24.638999999999999</v>
      </c>
      <c r="G288">
        <v>52995205</v>
      </c>
    </row>
    <row r="289" spans="1:7" x14ac:dyDescent="0.3">
      <c r="A289" t="s">
        <v>38</v>
      </c>
      <c r="B289" t="s">
        <v>84</v>
      </c>
      <c r="C289">
        <v>2012</v>
      </c>
      <c r="D289">
        <v>8076.9767847974063</v>
      </c>
      <c r="E289">
        <v>5.73797139141739</v>
      </c>
      <c r="F289">
        <v>24.727</v>
      </c>
      <c r="G289">
        <v>53782567</v>
      </c>
    </row>
    <row r="290" spans="1:7" x14ac:dyDescent="0.3">
      <c r="A290" t="s">
        <v>38</v>
      </c>
      <c r="B290" t="s">
        <v>84</v>
      </c>
      <c r="C290">
        <v>2013</v>
      </c>
      <c r="D290">
        <v>7331.6546738491925</v>
      </c>
      <c r="E290">
        <v>5.7801691006917499</v>
      </c>
      <c r="F290">
        <v>24.561</v>
      </c>
      <c r="G290">
        <v>54678791</v>
      </c>
    </row>
    <row r="291" spans="1:7" x14ac:dyDescent="0.3">
      <c r="A291" t="s">
        <v>38</v>
      </c>
      <c r="B291" t="s">
        <v>84</v>
      </c>
      <c r="C291">
        <v>2014</v>
      </c>
      <c r="D291">
        <v>6856.7313709252221</v>
      </c>
      <c r="E291">
        <v>6.1328295305914899</v>
      </c>
      <c r="F291">
        <v>24.89</v>
      </c>
      <c r="G291">
        <v>55594838</v>
      </c>
    </row>
    <row r="292" spans="1:7" x14ac:dyDescent="0.3">
      <c r="A292" t="s">
        <v>38</v>
      </c>
      <c r="B292" t="s">
        <v>84</v>
      </c>
      <c r="C292">
        <v>2015</v>
      </c>
      <c r="D292">
        <v>6112.2738248597416</v>
      </c>
      <c r="E292">
        <v>4.5186909489250597</v>
      </c>
      <c r="F292">
        <v>25.149000000000001</v>
      </c>
      <c r="G292">
        <v>56723537</v>
      </c>
    </row>
    <row r="293" spans="1:7" x14ac:dyDescent="0.3">
      <c r="A293" t="s">
        <v>38</v>
      </c>
      <c r="B293" t="s">
        <v>84</v>
      </c>
      <c r="C293">
        <v>2016</v>
      </c>
      <c r="D293">
        <v>5651.2058516574916</v>
      </c>
      <c r="E293">
        <v>6.6029084239487101</v>
      </c>
      <c r="F293">
        <v>26.536000000000001</v>
      </c>
      <c r="G293">
        <v>57259551</v>
      </c>
    </row>
    <row r="294" spans="1:7" x14ac:dyDescent="0.3">
      <c r="A294" t="s">
        <v>38</v>
      </c>
      <c r="B294" t="s">
        <v>84</v>
      </c>
      <c r="C294">
        <v>2017</v>
      </c>
      <c r="D294">
        <v>6618.335082557006</v>
      </c>
      <c r="E294">
        <v>5.1861865552414903</v>
      </c>
      <c r="F294">
        <v>27.035</v>
      </c>
      <c r="G294">
        <v>57635162</v>
      </c>
    </row>
    <row r="295" spans="1:7" x14ac:dyDescent="0.3">
      <c r="A295" t="s">
        <v>38</v>
      </c>
      <c r="B295" t="s">
        <v>84</v>
      </c>
      <c r="C295">
        <v>2018</v>
      </c>
      <c r="D295">
        <v>6914.1780318075989</v>
      </c>
      <c r="E295">
        <v>4.5098726486738698</v>
      </c>
      <c r="F295">
        <v>26.905999999999999</v>
      </c>
      <c r="G295">
        <v>58613001</v>
      </c>
    </row>
    <row r="296" spans="1:7" x14ac:dyDescent="0.3">
      <c r="A296" t="s">
        <v>38</v>
      </c>
      <c r="B296" t="s">
        <v>84</v>
      </c>
      <c r="C296">
        <v>2019</v>
      </c>
      <c r="D296">
        <v>6533.7112103285608</v>
      </c>
      <c r="E296">
        <v>4.1028507546115502</v>
      </c>
      <c r="F296">
        <v>28.468</v>
      </c>
      <c r="G296">
        <v>59587885</v>
      </c>
    </row>
    <row r="297" spans="1:7" x14ac:dyDescent="0.3">
      <c r="A297" t="s">
        <v>38</v>
      </c>
      <c r="B297" t="s">
        <v>84</v>
      </c>
      <c r="C297">
        <v>2020</v>
      </c>
      <c r="D297">
        <v>5580.6038307518866</v>
      </c>
      <c r="E297">
        <v>3.23238831615113</v>
      </c>
      <c r="F297">
        <v>29.216999999999999</v>
      </c>
      <c r="G297">
        <v>60562381</v>
      </c>
    </row>
    <row r="298" spans="1:7" x14ac:dyDescent="0.3">
      <c r="A298" t="s">
        <v>38</v>
      </c>
      <c r="B298" t="s">
        <v>84</v>
      </c>
      <c r="C298">
        <v>2021</v>
      </c>
      <c r="D298">
        <v>6828.7562459001674</v>
      </c>
      <c r="E298">
        <v>4.6187454488713602</v>
      </c>
      <c r="F298">
        <v>34.006999999999998</v>
      </c>
      <c r="G298">
        <v>61502603</v>
      </c>
    </row>
    <row r="299" spans="1:7" x14ac:dyDescent="0.3">
      <c r="A299" t="s">
        <v>38</v>
      </c>
      <c r="B299" t="s">
        <v>84</v>
      </c>
      <c r="C299">
        <v>2022</v>
      </c>
      <c r="D299">
        <v>6534.2486778339689</v>
      </c>
      <c r="E299">
        <v>7.0398727254648099</v>
      </c>
      <c r="F299">
        <v>33.268000000000001</v>
      </c>
      <c r="G299">
        <v>62378410</v>
      </c>
    </row>
    <row r="300" spans="1:7" x14ac:dyDescent="0.3">
      <c r="A300" t="s">
        <v>38</v>
      </c>
      <c r="B300" t="s">
        <v>84</v>
      </c>
      <c r="C300">
        <v>2023</v>
      </c>
      <c r="D300">
        <v>6034.2720896467317</v>
      </c>
      <c r="E300">
        <v>6.0752438457965896</v>
      </c>
      <c r="F300">
        <v>32.097999999999999</v>
      </c>
      <c r="G300">
        <v>63212384</v>
      </c>
    </row>
    <row r="301" spans="1:7" x14ac:dyDescent="0.3">
      <c r="A301" t="s">
        <v>38</v>
      </c>
      <c r="B301" t="s">
        <v>84</v>
      </c>
      <c r="C301">
        <v>2024</v>
      </c>
      <c r="D301">
        <v>6267.1868140930046</v>
      </c>
      <c r="E301">
        <v>4.3611524651896199</v>
      </c>
      <c r="F301">
        <v>32.279000000000003</v>
      </c>
      <c r="G301">
        <v>64007187</v>
      </c>
    </row>
    <row r="302" spans="1:7" x14ac:dyDescent="0.3">
      <c r="A302" t="s">
        <v>53</v>
      </c>
      <c r="B302" t="s">
        <v>25</v>
      </c>
      <c r="C302">
        <v>2000</v>
      </c>
      <c r="D302">
        <v>14743.267103145477</v>
      </c>
      <c r="E302">
        <v>3.4335165710398798</v>
      </c>
      <c r="F302">
        <v>13.785</v>
      </c>
      <c r="G302">
        <v>40567864</v>
      </c>
    </row>
    <row r="303" spans="1:7" x14ac:dyDescent="0.3">
      <c r="A303" t="s">
        <v>53</v>
      </c>
      <c r="B303" t="s">
        <v>25</v>
      </c>
      <c r="C303">
        <v>2001</v>
      </c>
      <c r="D303">
        <v>15368.233798443476</v>
      </c>
      <c r="E303">
        <v>3.58983367750045</v>
      </c>
      <c r="F303">
        <v>10.348000000000001</v>
      </c>
      <c r="G303">
        <v>40850412</v>
      </c>
    </row>
    <row r="304" spans="1:7" x14ac:dyDescent="0.3">
      <c r="A304" t="s">
        <v>53</v>
      </c>
      <c r="B304" t="s">
        <v>25</v>
      </c>
      <c r="C304">
        <v>2002</v>
      </c>
      <c r="D304">
        <v>17111.068505894054</v>
      </c>
      <c r="E304">
        <v>3.06545608883828</v>
      </c>
      <c r="F304">
        <v>11.146000000000001</v>
      </c>
      <c r="G304">
        <v>41431558</v>
      </c>
    </row>
    <row r="305" spans="1:7" x14ac:dyDescent="0.3">
      <c r="A305" t="s">
        <v>53</v>
      </c>
      <c r="B305" t="s">
        <v>25</v>
      </c>
      <c r="C305">
        <v>2003</v>
      </c>
      <c r="D305">
        <v>21522.01709902615</v>
      </c>
      <c r="E305">
        <v>3.03913607750866</v>
      </c>
      <c r="F305">
        <v>11.282999999999999</v>
      </c>
      <c r="G305">
        <v>42187645</v>
      </c>
    </row>
    <row r="306" spans="1:7" x14ac:dyDescent="0.3">
      <c r="A306" t="s">
        <v>53</v>
      </c>
      <c r="B306" t="s">
        <v>25</v>
      </c>
      <c r="C306">
        <v>2004</v>
      </c>
      <c r="D306">
        <v>24925.02678445755</v>
      </c>
      <c r="E306">
        <v>3.0394837875338401</v>
      </c>
      <c r="F306">
        <v>11.09</v>
      </c>
      <c r="G306">
        <v>42921895</v>
      </c>
    </row>
    <row r="307" spans="1:7" x14ac:dyDescent="0.3">
      <c r="A307" t="s">
        <v>53</v>
      </c>
      <c r="B307" t="s">
        <v>25</v>
      </c>
      <c r="C307">
        <v>2005</v>
      </c>
      <c r="D307">
        <v>26450.953013038234</v>
      </c>
      <c r="E307">
        <v>3.3683142609489098</v>
      </c>
      <c r="F307">
        <v>9.1460000000000008</v>
      </c>
      <c r="G307">
        <v>43653155</v>
      </c>
    </row>
    <row r="308" spans="1:7" x14ac:dyDescent="0.3">
      <c r="A308" t="s">
        <v>53</v>
      </c>
      <c r="B308" t="s">
        <v>25</v>
      </c>
      <c r="C308">
        <v>2006</v>
      </c>
      <c r="D308">
        <v>28421.686527407033</v>
      </c>
      <c r="E308">
        <v>3.5158102691812498</v>
      </c>
      <c r="F308">
        <v>8.452</v>
      </c>
      <c r="G308">
        <v>44397319</v>
      </c>
    </row>
    <row r="309" spans="1:7" x14ac:dyDescent="0.3">
      <c r="A309" t="s">
        <v>53</v>
      </c>
      <c r="B309" t="s">
        <v>25</v>
      </c>
      <c r="C309">
        <v>2007</v>
      </c>
      <c r="D309">
        <v>32652.015594701981</v>
      </c>
      <c r="E309">
        <v>2.7865918101789302</v>
      </c>
      <c r="F309">
        <v>8.2319999999999993</v>
      </c>
      <c r="G309">
        <v>45226803</v>
      </c>
    </row>
    <row r="310" spans="1:7" x14ac:dyDescent="0.3">
      <c r="A310" t="s">
        <v>53</v>
      </c>
      <c r="B310" t="s">
        <v>25</v>
      </c>
      <c r="C310">
        <v>2008</v>
      </c>
      <c r="D310">
        <v>35603.248328071044</v>
      </c>
      <c r="E310">
        <v>4.0756625165524998</v>
      </c>
      <c r="F310">
        <v>11.254</v>
      </c>
      <c r="G310">
        <v>45954106</v>
      </c>
    </row>
    <row r="311" spans="1:7" x14ac:dyDescent="0.3">
      <c r="A311" t="s">
        <v>53</v>
      </c>
      <c r="B311" t="s">
        <v>25</v>
      </c>
      <c r="C311">
        <v>2009</v>
      </c>
      <c r="D311">
        <v>32279.820847615145</v>
      </c>
      <c r="E311">
        <v>-0.28793362792947802</v>
      </c>
      <c r="F311">
        <v>17.856999999999999</v>
      </c>
      <c r="G311">
        <v>46362946</v>
      </c>
    </row>
    <row r="312" spans="1:7" x14ac:dyDescent="0.3">
      <c r="A312" t="s">
        <v>53</v>
      </c>
      <c r="B312" t="s">
        <v>25</v>
      </c>
      <c r="C312">
        <v>2010</v>
      </c>
      <c r="D312">
        <v>30658.742228291194</v>
      </c>
      <c r="E312">
        <v>1.79982772602942</v>
      </c>
      <c r="F312">
        <v>19.86</v>
      </c>
      <c r="G312">
        <v>46576897</v>
      </c>
    </row>
    <row r="313" spans="1:7" x14ac:dyDescent="0.3">
      <c r="A313" t="s">
        <v>53</v>
      </c>
      <c r="B313" t="s">
        <v>25</v>
      </c>
      <c r="C313">
        <v>2011</v>
      </c>
      <c r="D313">
        <v>31824.621913477695</v>
      </c>
      <c r="E313">
        <v>3.1960942501808098</v>
      </c>
      <c r="F313">
        <v>21.39</v>
      </c>
      <c r="G313">
        <v>46742697</v>
      </c>
    </row>
    <row r="314" spans="1:7" x14ac:dyDescent="0.3">
      <c r="A314" t="s">
        <v>53</v>
      </c>
      <c r="B314" t="s">
        <v>25</v>
      </c>
      <c r="C314">
        <v>2012</v>
      </c>
      <c r="D314">
        <v>28456.44381514769</v>
      </c>
      <c r="E314">
        <v>2.4459573503020202</v>
      </c>
      <c r="F314">
        <v>24.789000000000001</v>
      </c>
      <c r="G314">
        <v>46773055</v>
      </c>
    </row>
    <row r="315" spans="1:7" x14ac:dyDescent="0.3">
      <c r="A315" t="s">
        <v>53</v>
      </c>
      <c r="B315" t="s">
        <v>25</v>
      </c>
      <c r="C315">
        <v>2013</v>
      </c>
      <c r="D315">
        <v>29228.846559842044</v>
      </c>
      <c r="E315">
        <v>1.40871603132886</v>
      </c>
      <c r="F315">
        <v>26.094000000000001</v>
      </c>
      <c r="G315">
        <v>46604197</v>
      </c>
    </row>
    <row r="316" spans="1:7" x14ac:dyDescent="0.3">
      <c r="A316" t="s">
        <v>53</v>
      </c>
      <c r="B316" t="s">
        <v>25</v>
      </c>
      <c r="C316">
        <v>2014</v>
      </c>
      <c r="D316">
        <v>29707.765509467015</v>
      </c>
      <c r="E316">
        <v>-0.15092121765504801</v>
      </c>
      <c r="F316">
        <v>24.440999999999999</v>
      </c>
      <c r="G316">
        <v>46460733</v>
      </c>
    </row>
    <row r="317" spans="1:7" x14ac:dyDescent="0.3">
      <c r="A317" t="s">
        <v>53</v>
      </c>
      <c r="B317" t="s">
        <v>25</v>
      </c>
      <c r="C317">
        <v>2015</v>
      </c>
      <c r="D317">
        <v>25982.44161977755</v>
      </c>
      <c r="E317">
        <v>-0.50032742014990395</v>
      </c>
      <c r="F317">
        <v>22.056999999999999</v>
      </c>
      <c r="G317">
        <v>46422303</v>
      </c>
    </row>
    <row r="318" spans="1:7" x14ac:dyDescent="0.3">
      <c r="A318" t="s">
        <v>53</v>
      </c>
      <c r="B318" t="s">
        <v>25</v>
      </c>
      <c r="C318">
        <v>2016</v>
      </c>
      <c r="D318">
        <v>26755.606114939812</v>
      </c>
      <c r="E318">
        <v>-0.20272190336745399</v>
      </c>
      <c r="F318">
        <v>19.635000000000002</v>
      </c>
      <c r="G318">
        <v>46458139</v>
      </c>
    </row>
    <row r="319" spans="1:7" x14ac:dyDescent="0.3">
      <c r="A319" t="s">
        <v>53</v>
      </c>
      <c r="B319" t="s">
        <v>25</v>
      </c>
      <c r="C319">
        <v>2017</v>
      </c>
      <c r="D319">
        <v>28381.342559690624</v>
      </c>
      <c r="E319">
        <v>1.95575728963107</v>
      </c>
      <c r="F319">
        <v>17.224</v>
      </c>
      <c r="G319">
        <v>46571232</v>
      </c>
    </row>
    <row r="320" spans="1:7" x14ac:dyDescent="0.3">
      <c r="A320" t="s">
        <v>53</v>
      </c>
      <c r="B320" t="s">
        <v>25</v>
      </c>
      <c r="C320">
        <v>2018</v>
      </c>
      <c r="D320">
        <v>30602.42128811132</v>
      </c>
      <c r="E320">
        <v>1.6753982146528701</v>
      </c>
      <c r="F320">
        <v>15.255000000000001</v>
      </c>
      <c r="G320">
        <v>46782011</v>
      </c>
    </row>
    <row r="321" spans="1:7" x14ac:dyDescent="0.3">
      <c r="A321" t="s">
        <v>53</v>
      </c>
      <c r="B321" t="s">
        <v>25</v>
      </c>
      <c r="C321">
        <v>2019</v>
      </c>
      <c r="D321">
        <v>29786.524568900699</v>
      </c>
      <c r="E321">
        <v>0.699267137814226</v>
      </c>
      <c r="F321">
        <v>14.103999999999999</v>
      </c>
      <c r="G321">
        <v>47118501</v>
      </c>
    </row>
    <row r="322" spans="1:7" x14ac:dyDescent="0.3">
      <c r="A322" t="s">
        <v>53</v>
      </c>
      <c r="B322" t="s">
        <v>25</v>
      </c>
      <c r="C322">
        <v>2020</v>
      </c>
      <c r="D322">
        <v>27233.942646160765</v>
      </c>
      <c r="E322">
        <v>-0.32256461686194199</v>
      </c>
      <c r="F322">
        <v>15.532</v>
      </c>
      <c r="G322">
        <v>47359424</v>
      </c>
    </row>
    <row r="323" spans="1:7" x14ac:dyDescent="0.3">
      <c r="A323" t="s">
        <v>53</v>
      </c>
      <c r="B323" t="s">
        <v>25</v>
      </c>
      <c r="C323">
        <v>2021</v>
      </c>
      <c r="D323">
        <v>30799.477593777483</v>
      </c>
      <c r="E323">
        <v>3.0930498953180501</v>
      </c>
      <c r="F323">
        <v>14.914</v>
      </c>
      <c r="G323">
        <v>47443821</v>
      </c>
    </row>
    <row r="324" spans="1:7" x14ac:dyDescent="0.3">
      <c r="A324" t="s">
        <v>53</v>
      </c>
      <c r="B324" t="s">
        <v>25</v>
      </c>
      <c r="C324">
        <v>2022</v>
      </c>
      <c r="D324">
        <v>30319.498719661635</v>
      </c>
      <c r="E324">
        <v>8.3904194074889595</v>
      </c>
      <c r="F324">
        <v>13.032999999999999</v>
      </c>
      <c r="G324">
        <v>47786102</v>
      </c>
    </row>
    <row r="325" spans="1:7" x14ac:dyDescent="0.3">
      <c r="A325" t="s">
        <v>53</v>
      </c>
      <c r="B325" t="s">
        <v>25</v>
      </c>
      <c r="C325">
        <v>2023</v>
      </c>
      <c r="D325">
        <v>33493.222540911127</v>
      </c>
      <c r="E325">
        <v>3.5324728766789799</v>
      </c>
      <c r="F325">
        <v>12.179</v>
      </c>
      <c r="G325">
        <v>48352528</v>
      </c>
    </row>
    <row r="326" spans="1:7" x14ac:dyDescent="0.3">
      <c r="A326" t="s">
        <v>53</v>
      </c>
      <c r="B326" t="s">
        <v>25</v>
      </c>
      <c r="C326">
        <v>2024</v>
      </c>
      <c r="D326">
        <v>35326.768306927806</v>
      </c>
      <c r="E326">
        <v>2.7740698727587301</v>
      </c>
      <c r="F326">
        <v>11.4</v>
      </c>
      <c r="G326">
        <v>48848840</v>
      </c>
    </row>
    <row r="327" spans="1:7" x14ac:dyDescent="0.3">
      <c r="A327" t="s">
        <v>2</v>
      </c>
      <c r="B327" t="s">
        <v>24</v>
      </c>
      <c r="C327">
        <v>2000</v>
      </c>
      <c r="D327">
        <v>28383.876109499641</v>
      </c>
      <c r="E327">
        <v>1.18295624210408</v>
      </c>
      <c r="F327">
        <v>5.5579999999999998</v>
      </c>
      <c r="G327">
        <v>58892514</v>
      </c>
    </row>
    <row r="328" spans="1:7" x14ac:dyDescent="0.3">
      <c r="A328" t="s">
        <v>2</v>
      </c>
      <c r="B328" t="s">
        <v>24</v>
      </c>
      <c r="C328">
        <v>2001</v>
      </c>
      <c r="D328">
        <v>28013.872963550777</v>
      </c>
      <c r="E328">
        <v>1.5323496027241701</v>
      </c>
      <c r="F328">
        <v>4.6959999999999997</v>
      </c>
      <c r="G328">
        <v>59119673</v>
      </c>
    </row>
    <row r="329" spans="1:7" x14ac:dyDescent="0.3">
      <c r="A329" t="s">
        <v>2</v>
      </c>
      <c r="B329" t="s">
        <v>24</v>
      </c>
      <c r="C329">
        <v>2002</v>
      </c>
      <c r="D329">
        <v>30158.701780785788</v>
      </c>
      <c r="E329">
        <v>1.52040245947455</v>
      </c>
      <c r="F329">
        <v>5.0369999999999999</v>
      </c>
      <c r="G329">
        <v>59370479</v>
      </c>
    </row>
    <row r="330" spans="1:7" x14ac:dyDescent="0.3">
      <c r="A330" t="s">
        <v>2</v>
      </c>
      <c r="B330" t="s">
        <v>24</v>
      </c>
      <c r="C330">
        <v>2003</v>
      </c>
      <c r="D330">
        <v>34556.772609590509</v>
      </c>
      <c r="E330">
        <v>1.3765003854201301</v>
      </c>
      <c r="F330">
        <v>4.8070000000000004</v>
      </c>
      <c r="G330">
        <v>59647577</v>
      </c>
    </row>
    <row r="331" spans="1:7" x14ac:dyDescent="0.3">
      <c r="A331" t="s">
        <v>2</v>
      </c>
      <c r="B331" t="s">
        <v>24</v>
      </c>
      <c r="C331">
        <v>2004</v>
      </c>
      <c r="D331">
        <v>40504.411810392849</v>
      </c>
      <c r="E331">
        <v>1.3903975668042099</v>
      </c>
      <c r="F331">
        <v>4.5940000000000003</v>
      </c>
      <c r="G331">
        <v>59987905</v>
      </c>
    </row>
    <row r="332" spans="1:7" x14ac:dyDescent="0.3">
      <c r="A332" t="s">
        <v>2</v>
      </c>
      <c r="B332" t="s">
        <v>24</v>
      </c>
      <c r="C332">
        <v>2005</v>
      </c>
      <c r="D332">
        <v>42240.246298754661</v>
      </c>
      <c r="E332">
        <v>2.0891364902506901</v>
      </c>
      <c r="F332">
        <v>4.8840000000000003</v>
      </c>
      <c r="G332">
        <v>60401206</v>
      </c>
    </row>
    <row r="333" spans="1:7" x14ac:dyDescent="0.3">
      <c r="A333" t="s">
        <v>2</v>
      </c>
      <c r="B333" t="s">
        <v>24</v>
      </c>
      <c r="C333">
        <v>2006</v>
      </c>
      <c r="D333">
        <v>44695.161023423956</v>
      </c>
      <c r="E333">
        <v>2.4556616643928999</v>
      </c>
      <c r="F333">
        <v>5.4720000000000004</v>
      </c>
      <c r="G333">
        <v>60846820</v>
      </c>
    </row>
    <row r="334" spans="1:7" x14ac:dyDescent="0.3">
      <c r="A334" t="s">
        <v>2</v>
      </c>
      <c r="B334" t="s">
        <v>24</v>
      </c>
      <c r="C334">
        <v>2007</v>
      </c>
      <c r="D334">
        <v>50629.07991728872</v>
      </c>
      <c r="E334">
        <v>2.38656150773327</v>
      </c>
      <c r="F334">
        <v>5.399</v>
      </c>
      <c r="G334">
        <v>61322463</v>
      </c>
    </row>
    <row r="335" spans="1:7" x14ac:dyDescent="0.3">
      <c r="A335" t="s">
        <v>2</v>
      </c>
      <c r="B335" t="s">
        <v>24</v>
      </c>
      <c r="C335">
        <v>2008</v>
      </c>
      <c r="D335">
        <v>47652.403069188105</v>
      </c>
      <c r="E335">
        <v>3.5214085634253798</v>
      </c>
      <c r="F335">
        <v>5.7480000000000002</v>
      </c>
      <c r="G335">
        <v>61806995</v>
      </c>
    </row>
    <row r="336" spans="1:7" x14ac:dyDescent="0.3">
      <c r="A336" t="s">
        <v>2</v>
      </c>
      <c r="B336" t="s">
        <v>24</v>
      </c>
      <c r="C336">
        <v>2009</v>
      </c>
      <c r="D336">
        <v>39009.371554782112</v>
      </c>
      <c r="E336">
        <v>1.9617317356010899</v>
      </c>
      <c r="F336">
        <v>7.6829999999999998</v>
      </c>
      <c r="G336">
        <v>62276270</v>
      </c>
    </row>
    <row r="337" spans="1:7" x14ac:dyDescent="0.3">
      <c r="A337" t="s">
        <v>2</v>
      </c>
      <c r="B337" t="s">
        <v>24</v>
      </c>
      <c r="C337">
        <v>2010</v>
      </c>
      <c r="D337">
        <v>39778.322052856478</v>
      </c>
      <c r="E337">
        <v>2.4926547246706501</v>
      </c>
      <c r="F337">
        <v>7.9729999999999999</v>
      </c>
      <c r="G337">
        <v>62766365</v>
      </c>
    </row>
    <row r="338" spans="1:7" x14ac:dyDescent="0.3">
      <c r="A338" t="s">
        <v>2</v>
      </c>
      <c r="B338" t="s">
        <v>24</v>
      </c>
      <c r="C338">
        <v>2011</v>
      </c>
      <c r="D338">
        <v>42295.927383532166</v>
      </c>
      <c r="E338">
        <v>3.8561124468282002</v>
      </c>
      <c r="F338">
        <v>8.1950000000000003</v>
      </c>
      <c r="G338">
        <v>63258810</v>
      </c>
    </row>
    <row r="339" spans="1:7" x14ac:dyDescent="0.3">
      <c r="A339" t="s">
        <v>2</v>
      </c>
      <c r="B339" t="s">
        <v>24</v>
      </c>
      <c r="C339">
        <v>2012</v>
      </c>
      <c r="D339">
        <v>42688.326372837204</v>
      </c>
      <c r="E339">
        <v>2.5732347965453002</v>
      </c>
      <c r="F339">
        <v>8.2789999999999999</v>
      </c>
      <c r="G339">
        <v>63711000</v>
      </c>
    </row>
    <row r="340" spans="1:7" x14ac:dyDescent="0.3">
      <c r="A340" t="s">
        <v>2</v>
      </c>
      <c r="B340" t="s">
        <v>24</v>
      </c>
      <c r="C340">
        <v>2013</v>
      </c>
      <c r="D340">
        <v>43607.663682737053</v>
      </c>
      <c r="E340">
        <v>2.2916666666665901</v>
      </c>
      <c r="F340">
        <v>7.7519999999999998</v>
      </c>
      <c r="G340">
        <v>64138000</v>
      </c>
    </row>
    <row r="341" spans="1:7" x14ac:dyDescent="0.3">
      <c r="A341" t="s">
        <v>2</v>
      </c>
      <c r="B341" t="s">
        <v>24</v>
      </c>
      <c r="C341">
        <v>2014</v>
      </c>
      <c r="D341">
        <v>47746.981064552092</v>
      </c>
      <c r="E341">
        <v>1.4511201629327899</v>
      </c>
      <c r="F341">
        <v>6.3979999999999997</v>
      </c>
      <c r="G341">
        <v>64619000</v>
      </c>
    </row>
    <row r="342" spans="1:7" x14ac:dyDescent="0.3">
      <c r="A342" t="s">
        <v>2</v>
      </c>
      <c r="B342" t="s">
        <v>24</v>
      </c>
      <c r="C342">
        <v>2015</v>
      </c>
      <c r="D342">
        <v>45256.04022705699</v>
      </c>
      <c r="E342">
        <v>0.36804684232536</v>
      </c>
      <c r="F342">
        <v>5.5519999999999996</v>
      </c>
      <c r="G342">
        <v>65087000</v>
      </c>
    </row>
    <row r="343" spans="1:7" x14ac:dyDescent="0.3">
      <c r="A343" t="s">
        <v>2</v>
      </c>
      <c r="B343" t="s">
        <v>24</v>
      </c>
      <c r="C343">
        <v>2016</v>
      </c>
      <c r="D343">
        <v>41258.5374285695</v>
      </c>
      <c r="E343">
        <v>1.00841736811409</v>
      </c>
      <c r="F343">
        <v>4.9089999999999998</v>
      </c>
      <c r="G343">
        <v>65606000</v>
      </c>
    </row>
    <row r="344" spans="1:7" x14ac:dyDescent="0.3">
      <c r="A344" t="s">
        <v>2</v>
      </c>
      <c r="B344" t="s">
        <v>24</v>
      </c>
      <c r="C344">
        <v>2017</v>
      </c>
      <c r="D344">
        <v>40918.052087094409</v>
      </c>
      <c r="E344">
        <v>2.55775577557747</v>
      </c>
      <c r="F344">
        <v>4.5010000000000003</v>
      </c>
      <c r="G344">
        <v>65964000</v>
      </c>
    </row>
    <row r="345" spans="1:7" x14ac:dyDescent="0.3">
      <c r="A345" t="s">
        <v>2</v>
      </c>
      <c r="B345" t="s">
        <v>24</v>
      </c>
      <c r="C345">
        <v>2018</v>
      </c>
      <c r="D345">
        <v>43704.316229668715</v>
      </c>
      <c r="E345">
        <v>2.2928399034593698</v>
      </c>
      <c r="F345">
        <v>4.1449999999999996</v>
      </c>
      <c r="G345">
        <v>66287000</v>
      </c>
    </row>
    <row r="346" spans="1:7" x14ac:dyDescent="0.3">
      <c r="A346" t="s">
        <v>2</v>
      </c>
      <c r="B346" t="s">
        <v>24</v>
      </c>
      <c r="C346">
        <v>2019</v>
      </c>
      <c r="D346">
        <v>43160.684397179866</v>
      </c>
      <c r="E346">
        <v>1.73810460086512</v>
      </c>
      <c r="F346">
        <v>3.657</v>
      </c>
      <c r="G346">
        <v>66628000</v>
      </c>
    </row>
    <row r="347" spans="1:7" x14ac:dyDescent="0.3">
      <c r="A347" t="s">
        <v>2</v>
      </c>
      <c r="B347" t="s">
        <v>24</v>
      </c>
      <c r="C347">
        <v>2020</v>
      </c>
      <c r="D347">
        <v>40815.125536478736</v>
      </c>
      <c r="E347">
        <v>0.98948670377249104</v>
      </c>
      <c r="F347">
        <v>4.4720000000000004</v>
      </c>
      <c r="G347">
        <v>66740000</v>
      </c>
    </row>
    <row r="348" spans="1:7" x14ac:dyDescent="0.3">
      <c r="A348" t="s">
        <v>2</v>
      </c>
      <c r="B348" t="s">
        <v>24</v>
      </c>
      <c r="C348">
        <v>2021</v>
      </c>
      <c r="D348">
        <v>47695.649152347447</v>
      </c>
      <c r="E348">
        <v>2.51837109614213</v>
      </c>
      <c r="F348">
        <v>4.8639999999999999</v>
      </c>
      <c r="G348">
        <v>66978000</v>
      </c>
    </row>
    <row r="349" spans="1:7" x14ac:dyDescent="0.3">
      <c r="A349" t="s">
        <v>2</v>
      </c>
      <c r="B349" t="s">
        <v>24</v>
      </c>
      <c r="C349">
        <v>2022</v>
      </c>
      <c r="D349">
        <v>47034.779562147589</v>
      </c>
      <c r="E349">
        <v>7.9220488314790201</v>
      </c>
      <c r="F349">
        <v>3.7679999999999998</v>
      </c>
      <c r="G349">
        <v>67636000</v>
      </c>
    </row>
    <row r="350" spans="1:7" x14ac:dyDescent="0.3">
      <c r="A350" t="s">
        <v>2</v>
      </c>
      <c r="B350" t="s">
        <v>24</v>
      </c>
      <c r="C350">
        <v>2023</v>
      </c>
      <c r="D350">
        <v>49919.689662158606</v>
      </c>
      <c r="E350">
        <v>6.7939670679396196</v>
      </c>
      <c r="F350">
        <v>4.0250000000000004</v>
      </c>
      <c r="G350">
        <v>68526000</v>
      </c>
    </row>
    <row r="351" spans="1:7" x14ac:dyDescent="0.3">
      <c r="A351" t="s">
        <v>2</v>
      </c>
      <c r="B351" t="s">
        <v>24</v>
      </c>
      <c r="C351">
        <v>2024</v>
      </c>
      <c r="D351">
        <v>53341.31310942617</v>
      </c>
      <c r="E351">
        <v>3.2715729463591998</v>
      </c>
      <c r="F351">
        <v>4.3609999999999998</v>
      </c>
      <c r="G351">
        <v>69281000</v>
      </c>
    </row>
    <row r="352" spans="1:7" x14ac:dyDescent="0.3">
      <c r="A352" t="s">
        <v>77</v>
      </c>
      <c r="B352" t="s">
        <v>81</v>
      </c>
      <c r="C352">
        <v>2000</v>
      </c>
      <c r="D352">
        <v>36329.970259575079</v>
      </c>
      <c r="E352">
        <v>3.3768572714992899</v>
      </c>
      <c r="F352">
        <v>3.992</v>
      </c>
      <c r="G352">
        <v>282162411</v>
      </c>
    </row>
    <row r="353" spans="1:7" x14ac:dyDescent="0.3">
      <c r="A353" t="s">
        <v>77</v>
      </c>
      <c r="B353" t="s">
        <v>81</v>
      </c>
      <c r="C353">
        <v>2001</v>
      </c>
      <c r="D353">
        <v>37133.620397351704</v>
      </c>
      <c r="E353">
        <v>2.8261711188540701</v>
      </c>
      <c r="F353">
        <v>4.7309999999999999</v>
      </c>
      <c r="G353">
        <v>284968955</v>
      </c>
    </row>
    <row r="354" spans="1:7" x14ac:dyDescent="0.3">
      <c r="A354" t="s">
        <v>77</v>
      </c>
      <c r="B354" t="s">
        <v>81</v>
      </c>
      <c r="C354">
        <v>2002</v>
      </c>
      <c r="D354">
        <v>37997.742430024198</v>
      </c>
      <c r="E354">
        <v>1.5860316265060099</v>
      </c>
      <c r="F354">
        <v>5.7830000000000004</v>
      </c>
      <c r="G354">
        <v>287625193</v>
      </c>
    </row>
    <row r="355" spans="1:7" x14ac:dyDescent="0.3">
      <c r="A355" t="s">
        <v>77</v>
      </c>
      <c r="B355" t="s">
        <v>81</v>
      </c>
      <c r="C355">
        <v>2003</v>
      </c>
      <c r="D355">
        <v>39490.302390317607</v>
      </c>
      <c r="E355">
        <v>2.27009497336114</v>
      </c>
      <c r="F355">
        <v>5.9889999999999999</v>
      </c>
      <c r="G355">
        <v>290107933</v>
      </c>
    </row>
    <row r="356" spans="1:7" x14ac:dyDescent="0.3">
      <c r="A356" t="s">
        <v>77</v>
      </c>
      <c r="B356" t="s">
        <v>81</v>
      </c>
      <c r="C356">
        <v>2004</v>
      </c>
      <c r="D356">
        <v>41724.641198261379</v>
      </c>
      <c r="E356">
        <v>2.67723669309171</v>
      </c>
      <c r="F356">
        <v>5.5289999999999999</v>
      </c>
      <c r="G356">
        <v>292805298</v>
      </c>
    </row>
    <row r="357" spans="1:7" x14ac:dyDescent="0.3">
      <c r="A357" t="s">
        <v>77</v>
      </c>
      <c r="B357" t="s">
        <v>81</v>
      </c>
      <c r="C357">
        <v>2005</v>
      </c>
      <c r="D357">
        <v>44123.399647002567</v>
      </c>
      <c r="E357">
        <v>3.3927468454955001</v>
      </c>
      <c r="F357">
        <v>5.0839999999999996</v>
      </c>
      <c r="G357">
        <v>295516599</v>
      </c>
    </row>
    <row r="358" spans="1:7" x14ac:dyDescent="0.3">
      <c r="A358" t="s">
        <v>77</v>
      </c>
      <c r="B358" t="s">
        <v>81</v>
      </c>
      <c r="C358">
        <v>2006</v>
      </c>
      <c r="D358">
        <v>46301.987648551891</v>
      </c>
      <c r="E358">
        <v>3.2259441007040399</v>
      </c>
      <c r="F358">
        <v>4.6230000000000002</v>
      </c>
      <c r="G358">
        <v>298379912</v>
      </c>
    </row>
    <row r="359" spans="1:7" x14ac:dyDescent="0.3">
      <c r="A359" t="s">
        <v>77</v>
      </c>
      <c r="B359" t="s">
        <v>81</v>
      </c>
      <c r="C359">
        <v>2007</v>
      </c>
      <c r="D359">
        <v>48050.227412195047</v>
      </c>
      <c r="E359">
        <v>2.8526724815013802</v>
      </c>
      <c r="F359">
        <v>4.6219999999999999</v>
      </c>
      <c r="G359">
        <v>301231207</v>
      </c>
    </row>
    <row r="360" spans="1:7" x14ac:dyDescent="0.3">
      <c r="A360" t="s">
        <v>77</v>
      </c>
      <c r="B360" t="s">
        <v>81</v>
      </c>
      <c r="C360">
        <v>2008</v>
      </c>
      <c r="D360">
        <v>48570.05942696015</v>
      </c>
      <c r="E360">
        <v>3.8391002966509902</v>
      </c>
      <c r="F360">
        <v>5.7839999999999998</v>
      </c>
      <c r="G360">
        <v>304093966</v>
      </c>
    </row>
    <row r="361" spans="1:7" x14ac:dyDescent="0.3">
      <c r="A361" t="s">
        <v>77</v>
      </c>
      <c r="B361" t="s">
        <v>81</v>
      </c>
      <c r="C361">
        <v>2009</v>
      </c>
      <c r="D361">
        <v>47194.95008938721</v>
      </c>
      <c r="E361">
        <v>-0.355546266299747</v>
      </c>
      <c r="F361">
        <v>9.2539999999999996</v>
      </c>
      <c r="G361">
        <v>306771529</v>
      </c>
    </row>
    <row r="362" spans="1:7" x14ac:dyDescent="0.3">
      <c r="A362" t="s">
        <v>77</v>
      </c>
      <c r="B362" t="s">
        <v>81</v>
      </c>
      <c r="C362">
        <v>2010</v>
      </c>
      <c r="D362">
        <v>48642.631208821302</v>
      </c>
      <c r="E362">
        <v>1.6400434423899</v>
      </c>
      <c r="F362">
        <v>9.6329999999999991</v>
      </c>
      <c r="G362">
        <v>309378227</v>
      </c>
    </row>
    <row r="363" spans="1:7" x14ac:dyDescent="0.3">
      <c r="A363" t="s">
        <v>77</v>
      </c>
      <c r="B363" t="s">
        <v>81</v>
      </c>
      <c r="C363">
        <v>2011</v>
      </c>
      <c r="D363">
        <v>50024.8812320773</v>
      </c>
      <c r="E363">
        <v>3.1568415686220002</v>
      </c>
      <c r="F363">
        <v>8.9489999999999998</v>
      </c>
      <c r="G363">
        <v>311839461</v>
      </c>
    </row>
    <row r="364" spans="1:7" x14ac:dyDescent="0.3">
      <c r="A364" t="s">
        <v>77</v>
      </c>
      <c r="B364" t="s">
        <v>81</v>
      </c>
      <c r="C364">
        <v>2012</v>
      </c>
      <c r="D364">
        <v>51708.394061408188</v>
      </c>
      <c r="E364">
        <v>2.0693372652606601</v>
      </c>
      <c r="F364">
        <v>8.0690000000000008</v>
      </c>
      <c r="G364">
        <v>314339099</v>
      </c>
    </row>
    <row r="365" spans="1:7" x14ac:dyDescent="0.3">
      <c r="A365" t="s">
        <v>77</v>
      </c>
      <c r="B365" t="s">
        <v>81</v>
      </c>
      <c r="C365">
        <v>2013</v>
      </c>
      <c r="D365">
        <v>53297.386290159528</v>
      </c>
      <c r="E365">
        <v>1.46483265562716</v>
      </c>
      <c r="F365">
        <v>7.375</v>
      </c>
      <c r="G365">
        <v>316726282</v>
      </c>
    </row>
    <row r="366" spans="1:7" x14ac:dyDescent="0.3">
      <c r="A366" t="s">
        <v>77</v>
      </c>
      <c r="B366" t="s">
        <v>81</v>
      </c>
      <c r="C366">
        <v>2014</v>
      </c>
      <c r="D366">
        <v>55153.394018296698</v>
      </c>
      <c r="E366">
        <v>1.62222297740817</v>
      </c>
      <c r="F366">
        <v>6.1680000000000001</v>
      </c>
      <c r="G366">
        <v>319257560</v>
      </c>
    </row>
    <row r="367" spans="1:7" x14ac:dyDescent="0.3">
      <c r="A367" t="s">
        <v>77</v>
      </c>
      <c r="B367" t="s">
        <v>81</v>
      </c>
      <c r="C367">
        <v>2015</v>
      </c>
      <c r="D367">
        <v>56849.46979231594</v>
      </c>
      <c r="E367">
        <v>0.11862713555245</v>
      </c>
      <c r="F367">
        <v>5.28</v>
      </c>
      <c r="G367">
        <v>321815121</v>
      </c>
    </row>
    <row r="368" spans="1:7" x14ac:dyDescent="0.3">
      <c r="A368" t="s">
        <v>77</v>
      </c>
      <c r="B368" t="s">
        <v>81</v>
      </c>
      <c r="C368">
        <v>2016</v>
      </c>
      <c r="D368">
        <v>57976.628204291039</v>
      </c>
      <c r="E368">
        <v>1.26158320570535</v>
      </c>
      <c r="F368">
        <v>4.8689999999999998</v>
      </c>
      <c r="G368">
        <v>324353340</v>
      </c>
    </row>
    <row r="369" spans="1:7" x14ac:dyDescent="0.3">
      <c r="A369" t="s">
        <v>77</v>
      </c>
      <c r="B369" t="s">
        <v>81</v>
      </c>
      <c r="C369">
        <v>2017</v>
      </c>
      <c r="D369">
        <v>60047.719072830689</v>
      </c>
      <c r="E369">
        <v>2.1301100036596101</v>
      </c>
      <c r="F369">
        <v>4.3550000000000004</v>
      </c>
      <c r="G369">
        <v>326608609</v>
      </c>
    </row>
    <row r="370" spans="1:7" x14ac:dyDescent="0.3">
      <c r="A370" t="s">
        <v>77</v>
      </c>
      <c r="B370" t="s">
        <v>81</v>
      </c>
      <c r="C370">
        <v>2018</v>
      </c>
      <c r="D370">
        <v>62875.666138272842</v>
      </c>
      <c r="E370">
        <v>2.4425832969281598</v>
      </c>
      <c r="F370">
        <v>3.8959999999999999</v>
      </c>
      <c r="G370">
        <v>328529577</v>
      </c>
    </row>
    <row r="371" spans="1:7" x14ac:dyDescent="0.3">
      <c r="A371" t="s">
        <v>77</v>
      </c>
      <c r="B371" t="s">
        <v>81</v>
      </c>
      <c r="C371">
        <v>2019</v>
      </c>
      <c r="D371">
        <v>65227.95659110383</v>
      </c>
      <c r="E371">
        <v>1.8122100752601999</v>
      </c>
      <c r="F371">
        <v>3.669</v>
      </c>
      <c r="G371">
        <v>330226227</v>
      </c>
    </row>
    <row r="372" spans="1:7" x14ac:dyDescent="0.3">
      <c r="A372" t="s">
        <v>77</v>
      </c>
      <c r="B372" t="s">
        <v>81</v>
      </c>
      <c r="C372">
        <v>2020</v>
      </c>
      <c r="D372">
        <v>64465.297141574825</v>
      </c>
      <c r="E372">
        <v>1.23358439630629</v>
      </c>
      <c r="F372">
        <v>8.0549999999999997</v>
      </c>
      <c r="G372">
        <v>331578104</v>
      </c>
    </row>
    <row r="373" spans="1:7" x14ac:dyDescent="0.3">
      <c r="A373" t="s">
        <v>77</v>
      </c>
      <c r="B373" t="s">
        <v>81</v>
      </c>
      <c r="C373">
        <v>2021</v>
      </c>
      <c r="D373">
        <v>71441.231980594675</v>
      </c>
      <c r="E373">
        <v>4.6978588636374203</v>
      </c>
      <c r="F373">
        <v>5.3490000000000002</v>
      </c>
      <c r="G373">
        <v>332100166</v>
      </c>
    </row>
    <row r="374" spans="1:7" x14ac:dyDescent="0.3">
      <c r="A374" t="s">
        <v>77</v>
      </c>
      <c r="B374" t="s">
        <v>81</v>
      </c>
      <c r="C374">
        <v>2022</v>
      </c>
      <c r="D374">
        <v>78008.689581187704</v>
      </c>
      <c r="E374">
        <v>8.0027998205212096</v>
      </c>
      <c r="F374">
        <v>3.65</v>
      </c>
      <c r="G374">
        <v>333996304</v>
      </c>
    </row>
    <row r="375" spans="1:7" x14ac:dyDescent="0.3">
      <c r="A375" t="s">
        <v>77</v>
      </c>
      <c r="B375" t="s">
        <v>81</v>
      </c>
      <c r="C375">
        <v>2023</v>
      </c>
      <c r="D375">
        <v>82586.784770789425</v>
      </c>
      <c r="E375">
        <v>4.1163383837448704</v>
      </c>
      <c r="F375">
        <v>3.6379999999999999</v>
      </c>
      <c r="G375">
        <v>336755052</v>
      </c>
    </row>
    <row r="376" spans="1:7" x14ac:dyDescent="0.3">
      <c r="A376" t="s">
        <v>77</v>
      </c>
      <c r="B376" t="s">
        <v>81</v>
      </c>
      <c r="C376">
        <v>2024</v>
      </c>
      <c r="D376">
        <v>86169.664158191736</v>
      </c>
      <c r="E376">
        <v>2.9495252048520699</v>
      </c>
      <c r="F376">
        <v>4.0220000000000002</v>
      </c>
      <c r="G376">
        <v>340003797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6"/>
  <sheetViews>
    <sheetView zoomScale="40" zoomScaleNormal="40" workbookViewId="0"/>
  </sheetViews>
  <sheetFormatPr defaultRowHeight="14.4" x14ac:dyDescent="0.3"/>
  <cols>
    <col min="1" max="1" width="49.44140625" bestFit="1" customWidth="1"/>
    <col min="2" max="2" width="18.33203125" customWidth="1"/>
    <col min="3" max="3" width="64.33203125" bestFit="1" customWidth="1"/>
    <col min="4" max="4" width="19.109375" bestFit="1" customWidth="1"/>
    <col min="5" max="5" width="20" customWidth="1"/>
    <col min="6" max="6" width="19.21875" customWidth="1"/>
    <col min="7" max="14" width="20" customWidth="1"/>
    <col min="15" max="15" width="19.21875" customWidth="1"/>
    <col min="16" max="16" width="18.33203125" customWidth="1"/>
    <col min="17" max="24" width="19.21875" customWidth="1"/>
    <col min="25" max="25" width="20" customWidth="1"/>
    <col min="26" max="26" width="19.21875" customWidth="1"/>
    <col min="27" max="29" width="20" customWidth="1"/>
  </cols>
  <sheetData>
    <row r="1" spans="1:29" x14ac:dyDescent="0.3">
      <c r="A1" t="s">
        <v>40</v>
      </c>
      <c r="B1" s="1" t="s">
        <v>16</v>
      </c>
      <c r="C1" t="s">
        <v>109</v>
      </c>
      <c r="D1" s="1" t="s">
        <v>87</v>
      </c>
      <c r="E1" t="s">
        <v>107</v>
      </c>
      <c r="F1" t="s">
        <v>93</v>
      </c>
      <c r="G1" t="s">
        <v>82</v>
      </c>
      <c r="H1" t="s">
        <v>22</v>
      </c>
      <c r="I1" t="s">
        <v>7</v>
      </c>
      <c r="J1" t="s">
        <v>119</v>
      </c>
      <c r="K1" t="s">
        <v>63</v>
      </c>
      <c r="L1" t="s">
        <v>51</v>
      </c>
      <c r="M1" t="s">
        <v>41</v>
      </c>
      <c r="N1" t="s">
        <v>98</v>
      </c>
      <c r="O1" t="s">
        <v>88</v>
      </c>
      <c r="P1" t="s">
        <v>80</v>
      </c>
      <c r="Q1" t="s">
        <v>15</v>
      </c>
      <c r="R1" t="s">
        <v>3</v>
      </c>
      <c r="S1" t="s">
        <v>116</v>
      </c>
      <c r="T1" t="s">
        <v>104</v>
      </c>
      <c r="U1" t="s">
        <v>47</v>
      </c>
      <c r="V1" t="s">
        <v>37</v>
      </c>
      <c r="W1" t="s">
        <v>19</v>
      </c>
      <c r="X1" t="s">
        <v>83</v>
      </c>
      <c r="Y1" t="s">
        <v>71</v>
      </c>
      <c r="Z1" t="s">
        <v>62</v>
      </c>
      <c r="AA1" t="s">
        <v>122</v>
      </c>
      <c r="AB1" t="s">
        <v>113</v>
      </c>
      <c r="AC1" t="s">
        <v>96</v>
      </c>
    </row>
    <row r="2" spans="1:29" x14ac:dyDescent="0.3">
      <c r="A2" t="s">
        <v>17</v>
      </c>
      <c r="B2" s="1" t="s">
        <v>114</v>
      </c>
      <c r="C2" t="s">
        <v>73</v>
      </c>
      <c r="D2" s="1" t="s">
        <v>72</v>
      </c>
      <c r="E2">
        <v>442.75021893726324</v>
      </c>
      <c r="F2">
        <v>450.35790051412818</v>
      </c>
      <c r="G2">
        <v>469.14992897392727</v>
      </c>
      <c r="H2">
        <v>544.14313354500223</v>
      </c>
      <c r="I2">
        <v>624.25882651006611</v>
      </c>
      <c r="J2">
        <v>710.48808040894892</v>
      </c>
      <c r="K2">
        <v>801.66835365902227</v>
      </c>
      <c r="L2">
        <v>1021.8870770682593</v>
      </c>
      <c r="M2">
        <v>992.51958492382755</v>
      </c>
      <c r="N2">
        <v>1094.9497459843622</v>
      </c>
      <c r="O2">
        <v>1347.5193907136679</v>
      </c>
      <c r="P2">
        <v>1445.4612748603658</v>
      </c>
      <c r="Q2">
        <v>1429.321995200319</v>
      </c>
      <c r="R2">
        <v>1432.843975121953</v>
      </c>
      <c r="S2">
        <v>1553.8839607511832</v>
      </c>
      <c r="T2">
        <v>1583.9981590798479</v>
      </c>
      <c r="U2">
        <v>1707.5089291224338</v>
      </c>
      <c r="V2">
        <v>1950.1046828086635</v>
      </c>
      <c r="W2">
        <v>1966.2545517167889</v>
      </c>
      <c r="X2">
        <v>2041.4286369858535</v>
      </c>
      <c r="Y2">
        <v>1907.042516376687</v>
      </c>
      <c r="Z2">
        <v>2239.6138436748224</v>
      </c>
      <c r="AA2">
        <v>2279.9814571936909</v>
      </c>
      <c r="AB2">
        <v>2434.4482634098913</v>
      </c>
      <c r="AC2">
        <v>2591.9916607121977</v>
      </c>
    </row>
    <row r="3" spans="1:29" x14ac:dyDescent="0.3">
      <c r="A3" t="s">
        <v>17</v>
      </c>
      <c r="B3" s="1" t="s">
        <v>114</v>
      </c>
      <c r="C3" t="s">
        <v>39</v>
      </c>
      <c r="D3" s="1" t="s">
        <v>13</v>
      </c>
      <c r="E3">
        <v>4.0094359104519004</v>
      </c>
      <c r="F3">
        <v>3.7792931223563699</v>
      </c>
      <c r="G3">
        <v>4.29715203929561</v>
      </c>
      <c r="H3">
        <v>3.8058589952885198</v>
      </c>
      <c r="I3">
        <v>3.7672517347751699</v>
      </c>
      <c r="J3">
        <v>4.2463436203192302</v>
      </c>
      <c r="K3">
        <v>5.7965233756163297</v>
      </c>
      <c r="L3">
        <v>6.3728813559323099</v>
      </c>
      <c r="M3">
        <v>8.3492670490757401</v>
      </c>
      <c r="N3">
        <v>10.8823529411764</v>
      </c>
      <c r="O3">
        <v>11.989389920424401</v>
      </c>
      <c r="P3">
        <v>8.9117933648335992</v>
      </c>
      <c r="Q3">
        <v>9.4789969141979196</v>
      </c>
      <c r="R3">
        <v>10.0178784746104</v>
      </c>
      <c r="S3">
        <v>6.6656567186789903</v>
      </c>
      <c r="T3">
        <v>4.9069734412724904</v>
      </c>
      <c r="U3">
        <v>4.9482163406213404</v>
      </c>
      <c r="V3">
        <v>3.3281733746130402</v>
      </c>
      <c r="W3">
        <v>3.9388264669164199</v>
      </c>
      <c r="X3">
        <v>3.7295057353912302</v>
      </c>
      <c r="Y3">
        <v>6.6234367762852902</v>
      </c>
      <c r="Z3">
        <v>5.1314074717636302</v>
      </c>
      <c r="AA3">
        <v>6.6990341407985703</v>
      </c>
      <c r="AB3">
        <v>5.6491431890792496</v>
      </c>
      <c r="AC3">
        <v>4.9530355097366003</v>
      </c>
    </row>
    <row r="4" spans="1:29" x14ac:dyDescent="0.3">
      <c r="A4" t="s">
        <v>17</v>
      </c>
      <c r="B4" s="1" t="s">
        <v>114</v>
      </c>
      <c r="C4" t="s">
        <v>75</v>
      </c>
      <c r="D4" s="1" t="s">
        <v>23</v>
      </c>
      <c r="E4">
        <v>7.5890000000000004</v>
      </c>
      <c r="F4">
        <v>7.6109999999999998</v>
      </c>
      <c r="G4">
        <v>7.681</v>
      </c>
      <c r="H4">
        <v>7.633</v>
      </c>
      <c r="I4">
        <v>7.5979999999999999</v>
      </c>
      <c r="J4">
        <v>7.5510000000000002</v>
      </c>
      <c r="K4">
        <v>7.5529999999999999</v>
      </c>
      <c r="L4">
        <v>7.5620000000000003</v>
      </c>
      <c r="M4">
        <v>7.6289999999999996</v>
      </c>
      <c r="N4">
        <v>7.6360000000000001</v>
      </c>
      <c r="O4">
        <v>7.6310000000000002</v>
      </c>
      <c r="P4">
        <v>7.609</v>
      </c>
      <c r="Q4">
        <v>7.6449999999999996</v>
      </c>
      <c r="R4">
        <v>7.6779999999999999</v>
      </c>
      <c r="S4">
        <v>7.6559999999999997</v>
      </c>
      <c r="T4">
        <v>7.6289999999999996</v>
      </c>
      <c r="U4">
        <v>7.6109999999999998</v>
      </c>
      <c r="V4">
        <v>7.6260000000000003</v>
      </c>
      <c r="W4">
        <v>7.6520000000000001</v>
      </c>
      <c r="X4">
        <v>6.51</v>
      </c>
      <c r="Y4">
        <v>7.859</v>
      </c>
      <c r="Z4">
        <v>6.38</v>
      </c>
      <c r="AA4">
        <v>4.8220000000000001</v>
      </c>
      <c r="AB4">
        <v>4.1719999999999997</v>
      </c>
      <c r="AC4">
        <v>4.173</v>
      </c>
    </row>
    <row r="5" spans="1:29" x14ac:dyDescent="0.3">
      <c r="A5" t="s">
        <v>17</v>
      </c>
      <c r="B5" s="1" t="s">
        <v>114</v>
      </c>
      <c r="C5" t="s">
        <v>64</v>
      </c>
      <c r="D5" s="1" t="s">
        <v>50</v>
      </c>
      <c r="E5">
        <v>1057922733</v>
      </c>
      <c r="F5">
        <v>1077898575</v>
      </c>
      <c r="G5">
        <v>1097600380</v>
      </c>
      <c r="H5">
        <v>1116803006</v>
      </c>
      <c r="I5">
        <v>1135991513</v>
      </c>
      <c r="J5">
        <v>1154676322</v>
      </c>
      <c r="K5">
        <v>1172878890</v>
      </c>
      <c r="L5">
        <v>1190676021</v>
      </c>
      <c r="M5">
        <v>1207930964</v>
      </c>
      <c r="N5">
        <v>1225524753</v>
      </c>
      <c r="O5">
        <v>1243481564</v>
      </c>
      <c r="P5">
        <v>1261224954</v>
      </c>
      <c r="Q5">
        <v>1278674502</v>
      </c>
      <c r="R5">
        <v>1295829511</v>
      </c>
      <c r="S5">
        <v>1312277191</v>
      </c>
      <c r="T5">
        <v>1328024498</v>
      </c>
      <c r="U5">
        <v>1343944296</v>
      </c>
      <c r="V5">
        <v>1359657400</v>
      </c>
      <c r="W5">
        <v>1374659064</v>
      </c>
      <c r="X5">
        <v>1389030312</v>
      </c>
      <c r="Y5">
        <v>1402617695</v>
      </c>
      <c r="Z5">
        <v>1414203896</v>
      </c>
      <c r="AA5">
        <v>1425423212</v>
      </c>
      <c r="AB5">
        <v>1438069596</v>
      </c>
      <c r="AC5">
        <v>1450935791</v>
      </c>
    </row>
    <row r="6" spans="1:29" x14ac:dyDescent="0.3">
      <c r="A6" t="s">
        <v>77</v>
      </c>
      <c r="B6" s="1" t="s">
        <v>81</v>
      </c>
      <c r="C6" t="s">
        <v>73</v>
      </c>
      <c r="D6" s="1" t="s">
        <v>72</v>
      </c>
      <c r="E6">
        <v>36329.970259575079</v>
      </c>
      <c r="F6">
        <v>37133.620397351704</v>
      </c>
      <c r="G6">
        <v>37997.742430024198</v>
      </c>
      <c r="H6">
        <v>39490.302390317607</v>
      </c>
      <c r="I6">
        <v>41724.641198261379</v>
      </c>
      <c r="J6">
        <v>44123.399647002567</v>
      </c>
      <c r="K6">
        <v>46301.987648551891</v>
      </c>
      <c r="L6">
        <v>48050.227412195047</v>
      </c>
      <c r="M6">
        <v>48570.05942696015</v>
      </c>
      <c r="N6">
        <v>47194.95008938721</v>
      </c>
      <c r="O6">
        <v>48642.631208821302</v>
      </c>
      <c r="P6">
        <v>50024.8812320773</v>
      </c>
      <c r="Q6">
        <v>51708.394061408188</v>
      </c>
      <c r="R6">
        <v>53297.386290159528</v>
      </c>
      <c r="S6">
        <v>55153.394018296698</v>
      </c>
      <c r="T6">
        <v>56849.46979231594</v>
      </c>
      <c r="U6">
        <v>57976.628204291039</v>
      </c>
      <c r="V6">
        <v>60047.719072830689</v>
      </c>
      <c r="W6">
        <v>62875.666138272842</v>
      </c>
      <c r="X6">
        <v>65227.95659110383</v>
      </c>
      <c r="Y6">
        <v>64465.297141574825</v>
      </c>
      <c r="Z6">
        <v>71441.231980594675</v>
      </c>
      <c r="AA6">
        <v>78008.689581187704</v>
      </c>
      <c r="AB6">
        <v>82586.784770789425</v>
      </c>
      <c r="AC6">
        <v>86169.664158191736</v>
      </c>
    </row>
    <row r="7" spans="1:29" x14ac:dyDescent="0.3">
      <c r="A7" t="s">
        <v>77</v>
      </c>
      <c r="B7" s="1" t="s">
        <v>81</v>
      </c>
      <c r="C7" t="s">
        <v>39</v>
      </c>
      <c r="D7" s="1" t="s">
        <v>13</v>
      </c>
      <c r="E7">
        <v>3.3768572714992899</v>
      </c>
      <c r="F7">
        <v>2.8261711188540701</v>
      </c>
      <c r="G7">
        <v>1.5860316265060099</v>
      </c>
      <c r="H7">
        <v>2.27009497336114</v>
      </c>
      <c r="I7">
        <v>2.67723669309171</v>
      </c>
      <c r="J7">
        <v>3.3927468454955001</v>
      </c>
      <c r="K7">
        <v>3.2259441007040399</v>
      </c>
      <c r="L7">
        <v>2.8526724815013802</v>
      </c>
      <c r="M7">
        <v>3.8391002966509902</v>
      </c>
      <c r="N7">
        <v>-0.355546266299747</v>
      </c>
      <c r="O7">
        <v>1.6400434423899</v>
      </c>
      <c r="P7">
        <v>3.1568415686220002</v>
      </c>
      <c r="Q7">
        <v>2.0693372652606601</v>
      </c>
      <c r="R7">
        <v>1.46483265562716</v>
      </c>
      <c r="S7">
        <v>1.62222297740817</v>
      </c>
      <c r="T7">
        <v>0.11862713555245</v>
      </c>
      <c r="U7">
        <v>1.26158320570535</v>
      </c>
      <c r="V7">
        <v>2.1301100036596101</v>
      </c>
      <c r="W7">
        <v>2.4425832969281598</v>
      </c>
      <c r="X7">
        <v>1.8122100752601999</v>
      </c>
      <c r="Y7">
        <v>1.23358439630629</v>
      </c>
      <c r="Z7">
        <v>4.6978588636374203</v>
      </c>
      <c r="AA7">
        <v>8.0027998205212096</v>
      </c>
      <c r="AB7">
        <v>4.1163383837448704</v>
      </c>
      <c r="AC7">
        <v>2.9495252048520699</v>
      </c>
    </row>
    <row r="8" spans="1:29" x14ac:dyDescent="0.3">
      <c r="A8" t="s">
        <v>77</v>
      </c>
      <c r="B8" s="1" t="s">
        <v>81</v>
      </c>
      <c r="C8" t="s">
        <v>75</v>
      </c>
      <c r="D8" s="1" t="s">
        <v>23</v>
      </c>
      <c r="E8">
        <v>3.992</v>
      </c>
      <c r="F8">
        <v>4.7309999999999999</v>
      </c>
      <c r="G8">
        <v>5.7830000000000004</v>
      </c>
      <c r="H8">
        <v>5.9889999999999999</v>
      </c>
      <c r="I8">
        <v>5.5289999999999999</v>
      </c>
      <c r="J8">
        <v>5.0839999999999996</v>
      </c>
      <c r="K8">
        <v>4.6230000000000002</v>
      </c>
      <c r="L8">
        <v>4.6219999999999999</v>
      </c>
      <c r="M8">
        <v>5.7839999999999998</v>
      </c>
      <c r="N8">
        <v>9.2539999999999996</v>
      </c>
      <c r="O8">
        <v>9.6329999999999991</v>
      </c>
      <c r="P8">
        <v>8.9489999999999998</v>
      </c>
      <c r="Q8">
        <v>8.0690000000000008</v>
      </c>
      <c r="R8">
        <v>7.375</v>
      </c>
      <c r="S8">
        <v>6.1680000000000001</v>
      </c>
      <c r="T8">
        <v>5.28</v>
      </c>
      <c r="U8">
        <v>4.8689999999999998</v>
      </c>
      <c r="V8">
        <v>4.3550000000000004</v>
      </c>
      <c r="W8">
        <v>3.8959999999999999</v>
      </c>
      <c r="X8">
        <v>3.669</v>
      </c>
      <c r="Y8">
        <v>8.0549999999999997</v>
      </c>
      <c r="Z8">
        <v>5.3490000000000002</v>
      </c>
      <c r="AA8">
        <v>3.65</v>
      </c>
      <c r="AB8">
        <v>3.6379999999999999</v>
      </c>
      <c r="AC8">
        <v>4.0220000000000002</v>
      </c>
    </row>
    <row r="9" spans="1:29" x14ac:dyDescent="0.3">
      <c r="A9" t="s">
        <v>77</v>
      </c>
      <c r="B9" s="1" t="s">
        <v>81</v>
      </c>
      <c r="C9" t="s">
        <v>64</v>
      </c>
      <c r="D9" s="1" t="s">
        <v>50</v>
      </c>
      <c r="E9">
        <v>282162411</v>
      </c>
      <c r="F9">
        <v>284968955</v>
      </c>
      <c r="G9">
        <v>287625193</v>
      </c>
      <c r="H9">
        <v>290107933</v>
      </c>
      <c r="I9">
        <v>292805298</v>
      </c>
      <c r="J9">
        <v>295516599</v>
      </c>
      <c r="K9">
        <v>298379912</v>
      </c>
      <c r="L9">
        <v>301231207</v>
      </c>
      <c r="M9">
        <v>304093966</v>
      </c>
      <c r="N9">
        <v>306771529</v>
      </c>
      <c r="O9">
        <v>309378227</v>
      </c>
      <c r="P9">
        <v>311839461</v>
      </c>
      <c r="Q9">
        <v>314339099</v>
      </c>
      <c r="R9">
        <v>316726282</v>
      </c>
      <c r="S9">
        <v>319257560</v>
      </c>
      <c r="T9">
        <v>321815121</v>
      </c>
      <c r="U9">
        <v>324353340</v>
      </c>
      <c r="V9">
        <v>326608609</v>
      </c>
      <c r="W9">
        <v>328529577</v>
      </c>
      <c r="X9">
        <v>330226227</v>
      </c>
      <c r="Y9">
        <v>331578104</v>
      </c>
      <c r="Z9">
        <v>332100166</v>
      </c>
      <c r="AA9">
        <v>333996304</v>
      </c>
      <c r="AB9">
        <v>336755052</v>
      </c>
      <c r="AC9">
        <v>340003797</v>
      </c>
    </row>
    <row r="10" spans="1:29" x14ac:dyDescent="0.3">
      <c r="A10" t="s">
        <v>89</v>
      </c>
      <c r="B10" s="1" t="s">
        <v>49</v>
      </c>
      <c r="C10" t="s">
        <v>73</v>
      </c>
      <c r="D10" s="1" t="s">
        <v>72</v>
      </c>
      <c r="E10">
        <v>23925.855990199114</v>
      </c>
      <c r="F10">
        <v>23878.364147165095</v>
      </c>
      <c r="G10">
        <v>25486.594200874752</v>
      </c>
      <c r="H10">
        <v>30711.102251133085</v>
      </c>
      <c r="I10">
        <v>34566.73591437353</v>
      </c>
      <c r="J10">
        <v>35084.436354626887</v>
      </c>
      <c r="K10">
        <v>36980.334994895376</v>
      </c>
      <c r="L10">
        <v>42350.921721148872</v>
      </c>
      <c r="M10">
        <v>46379.164795347875</v>
      </c>
      <c r="N10">
        <v>42471.88686252258</v>
      </c>
      <c r="O10">
        <v>42396.966597629347</v>
      </c>
      <c r="P10">
        <v>47630.976188357236</v>
      </c>
      <c r="Q10">
        <v>44718.01592140687</v>
      </c>
      <c r="R10">
        <v>47206.83535142419</v>
      </c>
      <c r="S10">
        <v>48959.599120313287</v>
      </c>
      <c r="T10">
        <v>41929.754911072167</v>
      </c>
      <c r="U10">
        <v>42948.938193269365</v>
      </c>
      <c r="V10">
        <v>45553.934149533859</v>
      </c>
      <c r="W10">
        <v>48916.16866121543</v>
      </c>
      <c r="X10">
        <v>47656.199739747026</v>
      </c>
      <c r="Y10">
        <v>47394.873450446918</v>
      </c>
      <c r="Z10">
        <v>52349.245999442217</v>
      </c>
      <c r="AA10">
        <v>50506.517963854327</v>
      </c>
      <c r="AB10">
        <v>54776.766823549093</v>
      </c>
      <c r="AC10">
        <v>56103.732318255446</v>
      </c>
    </row>
    <row r="11" spans="1:29" x14ac:dyDescent="0.3">
      <c r="A11" t="s">
        <v>89</v>
      </c>
      <c r="B11" s="1" t="s">
        <v>49</v>
      </c>
      <c r="C11" t="s">
        <v>39</v>
      </c>
      <c r="D11" s="1" t="s">
        <v>13</v>
      </c>
      <c r="E11">
        <v>1.44026838719741</v>
      </c>
      <c r="F11">
        <v>1.9838573133447099</v>
      </c>
      <c r="G11">
        <v>1.42080615551526</v>
      </c>
      <c r="H11">
        <v>1.03422218628562</v>
      </c>
      <c r="I11">
        <v>1.66573696655991</v>
      </c>
      <c r="J11">
        <v>1.54691114751328</v>
      </c>
      <c r="K11">
        <v>1.5774264284056301</v>
      </c>
      <c r="L11">
        <v>2.2983440070094998</v>
      </c>
      <c r="M11">
        <v>2.6283798163721901</v>
      </c>
      <c r="N11">
        <v>0.31273900736844601</v>
      </c>
      <c r="O11">
        <v>1.1038103778926001</v>
      </c>
      <c r="P11">
        <v>2.0751728373587399</v>
      </c>
      <c r="Q11">
        <v>2.0084888478295602</v>
      </c>
      <c r="R11">
        <v>1.5047233025187601</v>
      </c>
      <c r="S11">
        <v>0.90679400043424496</v>
      </c>
      <c r="T11">
        <v>0.51442613712545604</v>
      </c>
      <c r="U11">
        <v>0.49174700844517399</v>
      </c>
      <c r="V11">
        <v>1.50949485109628</v>
      </c>
      <c r="W11">
        <v>1.73216879766941</v>
      </c>
      <c r="X11">
        <v>1.4456597688825299</v>
      </c>
      <c r="Y11">
        <v>0.14487792581398101</v>
      </c>
      <c r="Z11">
        <v>3.0666666666667299</v>
      </c>
      <c r="AA11">
        <v>6.8725743855109602</v>
      </c>
      <c r="AB11">
        <v>5.9464366772582302</v>
      </c>
      <c r="AC11">
        <v>2.2564981433876001</v>
      </c>
    </row>
    <row r="12" spans="1:29" x14ac:dyDescent="0.3">
      <c r="A12" t="s">
        <v>89</v>
      </c>
      <c r="B12" s="1" t="s">
        <v>49</v>
      </c>
      <c r="C12" t="s">
        <v>75</v>
      </c>
      <c r="D12" s="1" t="s">
        <v>23</v>
      </c>
      <c r="E12">
        <v>7.9169999999999998</v>
      </c>
      <c r="F12">
        <v>7.7729999999999997</v>
      </c>
      <c r="G12">
        <v>8.4819999999999993</v>
      </c>
      <c r="H12">
        <v>9.7789999999999999</v>
      </c>
      <c r="I12">
        <v>10.727</v>
      </c>
      <c r="J12">
        <v>11.193</v>
      </c>
      <c r="K12">
        <v>10.276999999999999</v>
      </c>
      <c r="L12">
        <v>8.7319999999999993</v>
      </c>
      <c r="M12">
        <v>7.508</v>
      </c>
      <c r="N12">
        <v>7.88</v>
      </c>
      <c r="O12">
        <v>7.0430000000000001</v>
      </c>
      <c r="P12">
        <v>5.9669999999999996</v>
      </c>
      <c r="Q12">
        <v>5.3719999999999999</v>
      </c>
      <c r="R12">
        <v>5.3159999999999998</v>
      </c>
      <c r="S12">
        <v>4.9790000000000001</v>
      </c>
      <c r="T12">
        <v>4.6120000000000001</v>
      </c>
      <c r="U12">
        <v>4.1040000000000001</v>
      </c>
      <c r="V12">
        <v>3.7810000000000001</v>
      </c>
      <c r="W12">
        <v>3.3839999999999999</v>
      </c>
      <c r="X12">
        <v>3.1629999999999998</v>
      </c>
      <c r="Y12">
        <v>3.8809999999999998</v>
      </c>
      <c r="Z12">
        <v>3.5939999999999999</v>
      </c>
      <c r="AA12">
        <v>3.137</v>
      </c>
      <c r="AB12">
        <v>3.0710000000000002</v>
      </c>
      <c r="AC12">
        <v>3.4</v>
      </c>
    </row>
    <row r="13" spans="1:29" x14ac:dyDescent="0.3">
      <c r="A13" t="s">
        <v>89</v>
      </c>
      <c r="B13" s="1" t="s">
        <v>49</v>
      </c>
      <c r="C13" t="s">
        <v>64</v>
      </c>
      <c r="D13" s="1" t="s">
        <v>50</v>
      </c>
      <c r="E13">
        <v>82211508</v>
      </c>
      <c r="F13">
        <v>82349925</v>
      </c>
      <c r="G13">
        <v>82488495</v>
      </c>
      <c r="H13">
        <v>82534176</v>
      </c>
      <c r="I13">
        <v>82516260</v>
      </c>
      <c r="J13">
        <v>82469422</v>
      </c>
      <c r="K13">
        <v>82376451</v>
      </c>
      <c r="L13">
        <v>82266372</v>
      </c>
      <c r="M13">
        <v>82110097</v>
      </c>
      <c r="N13">
        <v>81902307</v>
      </c>
      <c r="O13">
        <v>81776930</v>
      </c>
      <c r="P13">
        <v>80274983</v>
      </c>
      <c r="Q13">
        <v>80425823</v>
      </c>
      <c r="R13">
        <v>80645605</v>
      </c>
      <c r="S13">
        <v>80982500</v>
      </c>
      <c r="T13">
        <v>81686611</v>
      </c>
      <c r="U13">
        <v>82348669</v>
      </c>
      <c r="V13">
        <v>82657002</v>
      </c>
      <c r="W13">
        <v>82905782</v>
      </c>
      <c r="X13">
        <v>83092962</v>
      </c>
      <c r="Y13">
        <v>83160871</v>
      </c>
      <c r="Z13">
        <v>83196078</v>
      </c>
      <c r="AA13">
        <v>83177813</v>
      </c>
      <c r="AB13">
        <v>83287273</v>
      </c>
      <c r="AC13">
        <v>83516593</v>
      </c>
    </row>
    <row r="14" spans="1:29" x14ac:dyDescent="0.3">
      <c r="A14" t="s">
        <v>5</v>
      </c>
      <c r="B14" s="1" t="s">
        <v>121</v>
      </c>
      <c r="C14" t="s">
        <v>73</v>
      </c>
      <c r="D14" s="1" t="s">
        <v>72</v>
      </c>
      <c r="E14">
        <v>1771.59411621094</v>
      </c>
      <c r="F14">
        <v>2100.3525390625</v>
      </c>
      <c r="G14">
        <v>2377.52954101563</v>
      </c>
      <c r="H14">
        <v>2975.123046875</v>
      </c>
      <c r="I14">
        <v>4102.36474609375</v>
      </c>
      <c r="J14">
        <v>5323.455078125</v>
      </c>
      <c r="K14">
        <v>6920.19970703125</v>
      </c>
      <c r="L14">
        <v>9101.2392578125</v>
      </c>
      <c r="M14">
        <v>11635.2841796875</v>
      </c>
      <c r="N14">
        <v>8562.82421875</v>
      </c>
      <c r="O14">
        <v>10674.990234375</v>
      </c>
      <c r="P14">
        <v>14305.33203125</v>
      </c>
      <c r="Q14">
        <v>15401.8515625</v>
      </c>
      <c r="R14">
        <v>15941.4482421875</v>
      </c>
      <c r="S14">
        <v>14055.47265625</v>
      </c>
      <c r="T14">
        <v>9277.7138671875</v>
      </c>
      <c r="U14">
        <v>8663.158203125</v>
      </c>
      <c r="V14">
        <v>10658.9130859375</v>
      </c>
      <c r="W14">
        <v>11211.8876953125</v>
      </c>
      <c r="X14">
        <v>11447.701171875</v>
      </c>
      <c r="Y14">
        <v>10108.3271484375</v>
      </c>
      <c r="Z14">
        <v>12425.029296875</v>
      </c>
      <c r="AA14">
        <v>15625.6328125</v>
      </c>
      <c r="AB14">
        <v>13986.9951171875</v>
      </c>
      <c r="AC14">
        <v>14961.8974609375</v>
      </c>
    </row>
    <row r="15" spans="1:29" x14ac:dyDescent="0.3">
      <c r="A15" t="s">
        <v>5</v>
      </c>
      <c r="B15" s="1" t="s">
        <v>121</v>
      </c>
      <c r="C15" t="s">
        <v>39</v>
      </c>
      <c r="D15" s="1" t="s">
        <v>13</v>
      </c>
      <c r="E15">
        <v>20.798760655870399</v>
      </c>
      <c r="F15">
        <v>21.477007211715801</v>
      </c>
      <c r="G15">
        <v>15.7887307914462</v>
      </c>
      <c r="H15">
        <v>13.663293022866499</v>
      </c>
      <c r="I15">
        <v>10.888615732621499</v>
      </c>
      <c r="J15">
        <v>12.6853039507349</v>
      </c>
      <c r="K15">
        <v>9.6686545478926398</v>
      </c>
      <c r="L15">
        <v>9.0072986886107902</v>
      </c>
      <c r="M15">
        <v>14.110767784044199</v>
      </c>
      <c r="N15">
        <v>11.6473295764117</v>
      </c>
      <c r="O15">
        <v>6.8493923025502399</v>
      </c>
      <c r="P15">
        <v>8.4404648593257008</v>
      </c>
      <c r="Q15">
        <v>5.0747430079914899</v>
      </c>
      <c r="R15">
        <v>6.7546683390348603</v>
      </c>
      <c r="S15">
        <v>7.8201697001384396</v>
      </c>
      <c r="T15">
        <v>15.534395993570101</v>
      </c>
      <c r="U15">
        <v>7.0424372541370701</v>
      </c>
      <c r="V15">
        <v>3.6833307233449499</v>
      </c>
      <c r="W15">
        <v>2.8783138261498</v>
      </c>
      <c r="X15">
        <v>4.4720263183790303</v>
      </c>
      <c r="Y15">
        <v>3.3821979694806701</v>
      </c>
      <c r="Z15">
        <v>6.6944589195761202</v>
      </c>
      <c r="AA15">
        <v>13.743679739823101</v>
      </c>
      <c r="AB15">
        <v>5.8657193174896696</v>
      </c>
      <c r="AC15">
        <v>8.4348641049672306</v>
      </c>
    </row>
    <row r="16" spans="1:29" x14ac:dyDescent="0.3">
      <c r="A16" t="s">
        <v>5</v>
      </c>
      <c r="B16" s="1" t="s">
        <v>121</v>
      </c>
      <c r="C16" t="s">
        <v>75</v>
      </c>
      <c r="D16" s="1" t="s">
        <v>23</v>
      </c>
      <c r="E16">
        <v>10.581</v>
      </c>
      <c r="F16">
        <v>8.9779999999999998</v>
      </c>
      <c r="G16">
        <v>7.875</v>
      </c>
      <c r="H16">
        <v>8.2100000000000009</v>
      </c>
      <c r="I16">
        <v>7.7629999999999999</v>
      </c>
      <c r="J16">
        <v>7.1239999999999997</v>
      </c>
      <c r="K16">
        <v>7.0549999999999997</v>
      </c>
      <c r="L16">
        <v>6.0019999999999998</v>
      </c>
      <c r="M16">
        <v>6.2050000000000001</v>
      </c>
      <c r="N16">
        <v>8.3010000000000002</v>
      </c>
      <c r="O16">
        <v>7.407</v>
      </c>
      <c r="P16">
        <v>6.5709999999999997</v>
      </c>
      <c r="Q16">
        <v>5.484</v>
      </c>
      <c r="R16">
        <v>5.5129999999999999</v>
      </c>
      <c r="S16">
        <v>5.2119999999999997</v>
      </c>
      <c r="T16">
        <v>5.6150000000000002</v>
      </c>
      <c r="U16">
        <v>5.5910000000000002</v>
      </c>
      <c r="V16">
        <v>5.2380000000000004</v>
      </c>
      <c r="W16">
        <v>4.8710000000000004</v>
      </c>
      <c r="X16">
        <v>4.5129999999999999</v>
      </c>
      <c r="Y16">
        <v>5.62</v>
      </c>
      <c r="Z16">
        <v>4.7489999999999997</v>
      </c>
      <c r="AA16">
        <v>3.867</v>
      </c>
      <c r="AB16">
        <v>3.0760000000000001</v>
      </c>
      <c r="AC16">
        <v>2.4300000000000002</v>
      </c>
    </row>
    <row r="17" spans="1:29" x14ac:dyDescent="0.3">
      <c r="A17" t="s">
        <v>5</v>
      </c>
      <c r="B17" s="1" t="s">
        <v>121</v>
      </c>
      <c r="C17" t="s">
        <v>64</v>
      </c>
      <c r="D17" s="1" t="s">
        <v>50</v>
      </c>
      <c r="E17">
        <v>146596869</v>
      </c>
      <c r="F17">
        <v>145976482</v>
      </c>
      <c r="G17">
        <v>145306497</v>
      </c>
      <c r="H17">
        <v>144648618</v>
      </c>
      <c r="I17">
        <v>144067316</v>
      </c>
      <c r="J17">
        <v>143518814</v>
      </c>
      <c r="K17">
        <v>143049637</v>
      </c>
      <c r="L17">
        <v>142805114</v>
      </c>
      <c r="M17">
        <v>142742366</v>
      </c>
      <c r="N17">
        <v>142785348</v>
      </c>
      <c r="O17">
        <v>142849468</v>
      </c>
      <c r="P17">
        <v>143018195</v>
      </c>
      <c r="Q17">
        <v>143378447</v>
      </c>
      <c r="R17">
        <v>143805638</v>
      </c>
      <c r="S17">
        <v>144237223</v>
      </c>
      <c r="T17">
        <v>144640716</v>
      </c>
      <c r="U17">
        <v>145015460</v>
      </c>
      <c r="V17">
        <v>145293260</v>
      </c>
      <c r="W17">
        <v>145398106</v>
      </c>
      <c r="X17">
        <v>145453291</v>
      </c>
      <c r="Y17">
        <v>145245148</v>
      </c>
      <c r="Z17">
        <v>144746762</v>
      </c>
      <c r="AA17">
        <v>144236933</v>
      </c>
      <c r="AB17">
        <v>143826130</v>
      </c>
      <c r="AC17">
        <v>143669648</v>
      </c>
    </row>
    <row r="18" spans="1:29" x14ac:dyDescent="0.3">
      <c r="A18" t="s">
        <v>86</v>
      </c>
      <c r="B18" s="1" t="s">
        <v>92</v>
      </c>
      <c r="C18" t="s">
        <v>73</v>
      </c>
      <c r="D18" s="1" t="s">
        <v>72</v>
      </c>
      <c r="E18">
        <v>969.19951369628666</v>
      </c>
      <c r="F18">
        <v>1065.4059757451932</v>
      </c>
      <c r="G18">
        <v>1163.5595767342556</v>
      </c>
      <c r="H18">
        <v>1306.9724540855702</v>
      </c>
      <c r="I18">
        <v>1530.9272621572329</v>
      </c>
      <c r="J18">
        <v>1777.644968284641</v>
      </c>
      <c r="K18">
        <v>2129.2569699961318</v>
      </c>
      <c r="L18">
        <v>2734.7270987769271</v>
      </c>
      <c r="M18">
        <v>3523.4430206521301</v>
      </c>
      <c r="N18">
        <v>3898.2445915881062</v>
      </c>
      <c r="O18">
        <v>4629.2455171007732</v>
      </c>
      <c r="P18">
        <v>5703.7602797334557</v>
      </c>
      <c r="Q18">
        <v>6405.0574241349032</v>
      </c>
      <c r="R18">
        <v>7147.0351862234411</v>
      </c>
      <c r="S18">
        <v>7781.0659748497383</v>
      </c>
      <c r="T18">
        <v>8175.3328507739288</v>
      </c>
      <c r="U18">
        <v>8254.8685932035678</v>
      </c>
      <c r="V18">
        <v>8979.6765270985634</v>
      </c>
      <c r="W18">
        <v>10085.663814881918</v>
      </c>
      <c r="X18">
        <v>10342.90095243346</v>
      </c>
      <c r="Y18">
        <v>10627.463798961868</v>
      </c>
      <c r="Z18">
        <v>12887.435724294062</v>
      </c>
      <c r="AA18">
        <v>12970.605641432652</v>
      </c>
      <c r="AB18">
        <v>12951.178239704273</v>
      </c>
      <c r="AC18">
        <v>13293.116226936598</v>
      </c>
    </row>
    <row r="19" spans="1:29" x14ac:dyDescent="0.3">
      <c r="A19" t="s">
        <v>86</v>
      </c>
      <c r="B19" s="1" t="s">
        <v>92</v>
      </c>
      <c r="C19" t="s">
        <v>39</v>
      </c>
      <c r="D19" s="1" t="s">
        <v>13</v>
      </c>
      <c r="E19">
        <v>0.34781122686458599</v>
      </c>
      <c r="F19">
        <v>0.71912560912011303</v>
      </c>
      <c r="G19">
        <v>-0.73197090235024298</v>
      </c>
      <c r="H19">
        <v>1.1276034872963701</v>
      </c>
      <c r="I19">
        <v>3.82463743108159</v>
      </c>
      <c r="J19">
        <v>1.7764140766756999</v>
      </c>
      <c r="K19">
        <v>1.6494309945585901</v>
      </c>
      <c r="L19">
        <v>4.8167676737883403</v>
      </c>
      <c r="M19">
        <v>5.9252513704109102</v>
      </c>
      <c r="N19">
        <v>-0.72816525093289797</v>
      </c>
      <c r="O19">
        <v>3.1753247526919899</v>
      </c>
      <c r="P19">
        <v>5.5538989225749296</v>
      </c>
      <c r="Q19">
        <v>2.6195243264553998</v>
      </c>
      <c r="R19">
        <v>2.62105001748114</v>
      </c>
      <c r="S19">
        <v>1.9216416278852</v>
      </c>
      <c r="T19">
        <v>1.4370238093565399</v>
      </c>
      <c r="U19">
        <v>2.00000182191943</v>
      </c>
      <c r="V19">
        <v>1.59313600071435</v>
      </c>
      <c r="W19">
        <v>2.0747903996557602</v>
      </c>
      <c r="X19">
        <v>2.89923416358226</v>
      </c>
      <c r="Y19">
        <v>2.4194218945778201</v>
      </c>
      <c r="Z19">
        <v>0.98101513554488096</v>
      </c>
      <c r="AA19">
        <v>1.9735755573905001</v>
      </c>
      <c r="AB19">
        <v>0.23483682889304999</v>
      </c>
      <c r="AC19">
        <v>0.21812893843917699</v>
      </c>
    </row>
    <row r="20" spans="1:29" x14ac:dyDescent="0.3">
      <c r="A20" t="s">
        <v>86</v>
      </c>
      <c r="B20" s="1" t="s">
        <v>92</v>
      </c>
      <c r="C20" t="s">
        <v>75</v>
      </c>
      <c r="D20" s="1" t="s">
        <v>23</v>
      </c>
      <c r="E20">
        <v>3.26</v>
      </c>
      <c r="F20">
        <v>3.8</v>
      </c>
      <c r="G20">
        <v>4.24</v>
      </c>
      <c r="H20">
        <v>4.58</v>
      </c>
      <c r="I20">
        <v>4.49</v>
      </c>
      <c r="J20">
        <v>4.5199999999999996</v>
      </c>
      <c r="K20">
        <v>4.43</v>
      </c>
      <c r="L20">
        <v>4.3499999999999996</v>
      </c>
      <c r="M20">
        <v>4.59</v>
      </c>
      <c r="N20">
        <v>4.72</v>
      </c>
      <c r="O20">
        <v>4.53</v>
      </c>
      <c r="P20">
        <v>4.55</v>
      </c>
      <c r="Q20">
        <v>4.58</v>
      </c>
      <c r="R20">
        <v>4.5999999999999996</v>
      </c>
      <c r="S20">
        <v>4.63</v>
      </c>
      <c r="T20">
        <v>4.6500000000000004</v>
      </c>
      <c r="U20">
        <v>4.5599999999999996</v>
      </c>
      <c r="V20">
        <v>4.47</v>
      </c>
      <c r="W20">
        <v>4.3099999999999996</v>
      </c>
      <c r="X20">
        <v>4.5599999999999996</v>
      </c>
      <c r="Y20">
        <v>5</v>
      </c>
      <c r="Z20">
        <v>4.55</v>
      </c>
      <c r="AA20">
        <v>4.9800000000000004</v>
      </c>
      <c r="AB20">
        <v>4.67</v>
      </c>
      <c r="AC20">
        <v>4.59</v>
      </c>
    </row>
    <row r="21" spans="1:29" x14ac:dyDescent="0.3">
      <c r="A21" t="s">
        <v>86</v>
      </c>
      <c r="B21" s="1" t="s">
        <v>92</v>
      </c>
      <c r="C21" t="s">
        <v>64</v>
      </c>
      <c r="D21" s="1" t="s">
        <v>50</v>
      </c>
      <c r="E21">
        <v>1262645000</v>
      </c>
      <c r="F21">
        <v>1271850000</v>
      </c>
      <c r="G21">
        <v>1280400000</v>
      </c>
      <c r="H21">
        <v>1288400000</v>
      </c>
      <c r="I21">
        <v>1296075000</v>
      </c>
      <c r="J21">
        <v>1303720000</v>
      </c>
      <c r="K21">
        <v>1311020000</v>
      </c>
      <c r="L21">
        <v>1317885000</v>
      </c>
      <c r="M21">
        <v>1324655000</v>
      </c>
      <c r="N21">
        <v>1331260000</v>
      </c>
      <c r="O21">
        <v>1337705000</v>
      </c>
      <c r="P21">
        <v>1345035000</v>
      </c>
      <c r="Q21">
        <v>1354190000</v>
      </c>
      <c r="R21">
        <v>1363240000</v>
      </c>
      <c r="S21">
        <v>1371860000</v>
      </c>
      <c r="T21">
        <v>1379860000</v>
      </c>
      <c r="U21">
        <v>1387790000</v>
      </c>
      <c r="V21">
        <v>1396215000</v>
      </c>
      <c r="W21">
        <v>1402760000</v>
      </c>
      <c r="X21">
        <v>1407745000</v>
      </c>
      <c r="Y21">
        <v>1411100000</v>
      </c>
      <c r="Z21">
        <v>1412360000</v>
      </c>
      <c r="AA21">
        <v>1412175000</v>
      </c>
      <c r="AB21">
        <v>1410710000</v>
      </c>
      <c r="AC21">
        <v>1408975000</v>
      </c>
    </row>
    <row r="22" spans="1:29" x14ac:dyDescent="0.3">
      <c r="A22" t="s">
        <v>31</v>
      </c>
      <c r="B22" s="1" t="s">
        <v>123</v>
      </c>
      <c r="C22" t="s">
        <v>73</v>
      </c>
      <c r="D22" s="1" t="s">
        <v>72</v>
      </c>
      <c r="E22">
        <v>22340.593951621708</v>
      </c>
      <c r="F22">
        <v>22331.794834303619</v>
      </c>
      <c r="G22">
        <v>24144.572701952864</v>
      </c>
      <c r="H22">
        <v>29479.522210117506</v>
      </c>
      <c r="I22">
        <v>33644.928222036418</v>
      </c>
      <c r="J22">
        <v>34696.37183169715</v>
      </c>
      <c r="K22">
        <v>36431.565890655525</v>
      </c>
      <c r="L22">
        <v>41486.190782878672</v>
      </c>
      <c r="M22">
        <v>45464.818138515802</v>
      </c>
      <c r="N22">
        <v>41728.088416413208</v>
      </c>
      <c r="O22">
        <v>40694.821169702453</v>
      </c>
      <c r="P22">
        <v>43929.784087381166</v>
      </c>
      <c r="Q22">
        <v>40863.581441233335</v>
      </c>
      <c r="R22">
        <v>42669.179511189272</v>
      </c>
      <c r="S22">
        <v>43148.045928841602</v>
      </c>
      <c r="T22">
        <v>36702.432373337935</v>
      </c>
      <c r="U22">
        <v>37024.215713366888</v>
      </c>
      <c r="V22">
        <v>38687.162640716364</v>
      </c>
      <c r="W22">
        <v>41418.176648484419</v>
      </c>
      <c r="X22">
        <v>40408.284857475053</v>
      </c>
      <c r="Y22">
        <v>39169.860600070715</v>
      </c>
      <c r="Z22">
        <v>43725.099952124503</v>
      </c>
      <c r="AA22">
        <v>40988.639640657944</v>
      </c>
      <c r="AB22">
        <v>44700.138417754366</v>
      </c>
      <c r="AC22">
        <v>46103.084085588387</v>
      </c>
    </row>
    <row r="23" spans="1:29" x14ac:dyDescent="0.3">
      <c r="A23" t="s">
        <v>31</v>
      </c>
      <c r="B23" s="1" t="s">
        <v>123</v>
      </c>
      <c r="C23" t="s">
        <v>39</v>
      </c>
      <c r="D23" s="1" t="s">
        <v>13</v>
      </c>
      <c r="E23">
        <v>1.67061991153283</v>
      </c>
      <c r="F23">
        <v>1.63812454286363</v>
      </c>
      <c r="G23">
        <v>1.92190776331623</v>
      </c>
      <c r="H23">
        <v>2.0987023105203</v>
      </c>
      <c r="I23">
        <v>2.1461786097531901</v>
      </c>
      <c r="J23">
        <v>1.74156647601258</v>
      </c>
      <c r="K23">
        <v>1.67618916500309</v>
      </c>
      <c r="L23">
        <v>1.48832695801316</v>
      </c>
      <c r="M23">
        <v>2.8129238842809898</v>
      </c>
      <c r="N23">
        <v>8.7594082533068801E-2</v>
      </c>
      <c r="O23">
        <v>1.5331755858805001</v>
      </c>
      <c r="P23">
        <v>2.1080747456689002</v>
      </c>
      <c r="Q23">
        <v>1.95512386272455</v>
      </c>
      <c r="R23">
        <v>0.86272986537727303</v>
      </c>
      <c r="S23">
        <v>0.50773767900035005</v>
      </c>
      <c r="T23">
        <v>4.0333151834164402E-2</v>
      </c>
      <c r="U23">
        <v>0.18444977523328801</v>
      </c>
      <c r="V23">
        <v>1.0292061128605201</v>
      </c>
      <c r="W23">
        <v>1.85222067317272</v>
      </c>
      <c r="X23">
        <v>1.1067657411028999</v>
      </c>
      <c r="Y23">
        <v>0.47770084709702199</v>
      </c>
      <c r="Z23">
        <v>1.64090620368408</v>
      </c>
      <c r="AA23">
        <v>5.2229407921523103</v>
      </c>
      <c r="AB23">
        <v>4.8800021596911902</v>
      </c>
      <c r="AC23">
        <v>1.99742599742599</v>
      </c>
    </row>
    <row r="24" spans="1:29" x14ac:dyDescent="0.3">
      <c r="A24" t="s">
        <v>31</v>
      </c>
      <c r="B24" s="1" t="s">
        <v>123</v>
      </c>
      <c r="C24" t="s">
        <v>75</v>
      </c>
      <c r="D24" s="1" t="s">
        <v>23</v>
      </c>
      <c r="E24">
        <v>10.218</v>
      </c>
      <c r="F24">
        <v>8.61</v>
      </c>
      <c r="G24">
        <v>8.702</v>
      </c>
      <c r="H24">
        <v>8.3059999999999992</v>
      </c>
      <c r="I24">
        <v>8.9139999999999997</v>
      </c>
      <c r="J24">
        <v>8.8819999999999997</v>
      </c>
      <c r="K24">
        <v>8.8320000000000007</v>
      </c>
      <c r="L24">
        <v>8.0079999999999991</v>
      </c>
      <c r="M24">
        <v>7.3860000000000001</v>
      </c>
      <c r="N24">
        <v>9.1219999999999999</v>
      </c>
      <c r="O24">
        <v>9.2789999999999999</v>
      </c>
      <c r="P24">
        <v>9.2279999999999998</v>
      </c>
      <c r="Q24">
        <v>9.8409999999999993</v>
      </c>
      <c r="R24">
        <v>9.9130000000000003</v>
      </c>
      <c r="S24">
        <v>10.273</v>
      </c>
      <c r="T24">
        <v>10.353999999999999</v>
      </c>
      <c r="U24">
        <v>10.057</v>
      </c>
      <c r="V24">
        <v>9.4090000000000007</v>
      </c>
      <c r="W24">
        <v>9.0180000000000007</v>
      </c>
      <c r="X24">
        <v>8.4149999999999991</v>
      </c>
      <c r="Y24">
        <v>8.0090000000000003</v>
      </c>
      <c r="Z24">
        <v>7.8710000000000004</v>
      </c>
      <c r="AA24">
        <v>7.3029999999999999</v>
      </c>
      <c r="AB24">
        <v>7.335</v>
      </c>
      <c r="AC24">
        <v>7.4</v>
      </c>
    </row>
    <row r="25" spans="1:29" x14ac:dyDescent="0.3">
      <c r="A25" t="s">
        <v>31</v>
      </c>
      <c r="B25" s="1" t="s">
        <v>123</v>
      </c>
      <c r="C25" t="s">
        <v>64</v>
      </c>
      <c r="D25" s="1" t="s">
        <v>50</v>
      </c>
      <c r="E25">
        <v>60918661</v>
      </c>
      <c r="F25">
        <v>61364377</v>
      </c>
      <c r="G25">
        <v>61812142</v>
      </c>
      <c r="H25">
        <v>62249855</v>
      </c>
      <c r="I25">
        <v>62707588</v>
      </c>
      <c r="J25">
        <v>63180854</v>
      </c>
      <c r="K25">
        <v>63622342</v>
      </c>
      <c r="L25">
        <v>64016890</v>
      </c>
      <c r="M25">
        <v>64375116</v>
      </c>
      <c r="N25">
        <v>64706436</v>
      </c>
      <c r="O25">
        <v>65026211</v>
      </c>
      <c r="P25">
        <v>65340830</v>
      </c>
      <c r="Q25">
        <v>65657659</v>
      </c>
      <c r="R25">
        <v>65997932</v>
      </c>
      <c r="S25">
        <v>66312067</v>
      </c>
      <c r="T25">
        <v>66548272</v>
      </c>
      <c r="U25">
        <v>66724104</v>
      </c>
      <c r="V25">
        <v>66918020</v>
      </c>
      <c r="W25">
        <v>67158348</v>
      </c>
      <c r="X25">
        <v>67382061</v>
      </c>
      <c r="Y25">
        <v>67601110</v>
      </c>
      <c r="Z25">
        <v>67842811</v>
      </c>
      <c r="AA25">
        <v>68184457</v>
      </c>
      <c r="AB25">
        <v>68372286</v>
      </c>
      <c r="AC25">
        <v>68551653</v>
      </c>
    </row>
    <row r="26" spans="1:29" x14ac:dyDescent="0.3">
      <c r="A26" t="s">
        <v>4</v>
      </c>
      <c r="B26" s="1" t="s">
        <v>106</v>
      </c>
      <c r="C26" t="s">
        <v>73</v>
      </c>
      <c r="D26" s="1" t="s">
        <v>72</v>
      </c>
      <c r="E26">
        <v>20190.00356360841</v>
      </c>
      <c r="F26">
        <v>20570.438591786176</v>
      </c>
      <c r="G26">
        <v>22451.396437936848</v>
      </c>
      <c r="H26">
        <v>27577.570031985477</v>
      </c>
      <c r="I26">
        <v>31348.190184144543</v>
      </c>
      <c r="J26">
        <v>32062.723833669032</v>
      </c>
      <c r="K26">
        <v>33537.128699426947</v>
      </c>
      <c r="L26">
        <v>37826.175455482276</v>
      </c>
      <c r="M26">
        <v>40828.579558093719</v>
      </c>
      <c r="N26">
        <v>37099.6133958219</v>
      </c>
      <c r="O26">
        <v>35856.862548553916</v>
      </c>
      <c r="P26">
        <v>38432.37428200186</v>
      </c>
      <c r="Q26">
        <v>34854.394944196458</v>
      </c>
      <c r="R26">
        <v>35701.674600237551</v>
      </c>
      <c r="S26">
        <v>36028.349402234882</v>
      </c>
      <c r="T26">
        <v>30639.882975143213</v>
      </c>
      <c r="U26">
        <v>31391.569289810846</v>
      </c>
      <c r="V26">
        <v>32844.115660604024</v>
      </c>
      <c r="W26">
        <v>35062.336417694889</v>
      </c>
      <c r="X26">
        <v>33812.788724867976</v>
      </c>
      <c r="Y26">
        <v>32091.486662136638</v>
      </c>
      <c r="Z26">
        <v>36852.542541495095</v>
      </c>
      <c r="AA26">
        <v>35653.904210349501</v>
      </c>
      <c r="AB26">
        <v>39279.699782164018</v>
      </c>
      <c r="AC26">
        <v>40429.622404735237</v>
      </c>
    </row>
    <row r="27" spans="1:29" x14ac:dyDescent="0.3">
      <c r="A27" t="s">
        <v>4</v>
      </c>
      <c r="B27" s="1" t="s">
        <v>106</v>
      </c>
      <c r="C27" t="s">
        <v>39</v>
      </c>
      <c r="D27" s="1" t="s">
        <v>13</v>
      </c>
      <c r="E27">
        <v>2.5376871362644202</v>
      </c>
      <c r="F27">
        <v>2.7851645190571901</v>
      </c>
      <c r="G27">
        <v>2.46532018051998</v>
      </c>
      <c r="H27">
        <v>2.6725583851331298</v>
      </c>
      <c r="I27">
        <v>2.2067358779244701</v>
      </c>
      <c r="J27">
        <v>1.9852951636120499</v>
      </c>
      <c r="K27">
        <v>2.09084154117072</v>
      </c>
      <c r="L27">
        <v>1.8297392906679399</v>
      </c>
      <c r="M27">
        <v>3.34783416446058</v>
      </c>
      <c r="N27">
        <v>0.77476840513046696</v>
      </c>
      <c r="O27">
        <v>1.5255152483765599</v>
      </c>
      <c r="P27">
        <v>2.7805745844426002</v>
      </c>
      <c r="Q27">
        <v>3.0413611208225801</v>
      </c>
      <c r="R27">
        <v>1.21999478919838</v>
      </c>
      <c r="S27">
        <v>0.24105662726226501</v>
      </c>
      <c r="T27">
        <v>3.8788054612378303E-2</v>
      </c>
      <c r="U27">
        <v>-9.4066386793201506E-2</v>
      </c>
      <c r="V27">
        <v>1.2265288140113499</v>
      </c>
      <c r="W27">
        <v>1.1374858757867501</v>
      </c>
      <c r="X27">
        <v>0.61124944050639796</v>
      </c>
      <c r="Y27">
        <v>-0.13770725904821601</v>
      </c>
      <c r="Z27">
        <v>1.87378306224529</v>
      </c>
      <c r="AA27">
        <v>8.20128981173605</v>
      </c>
      <c r="AB27">
        <v>5.6221929221645697</v>
      </c>
      <c r="AC27">
        <v>0.98237511163771896</v>
      </c>
    </row>
    <row r="28" spans="1:29" x14ac:dyDescent="0.3">
      <c r="A28" t="s">
        <v>4</v>
      </c>
      <c r="B28" s="1" t="s">
        <v>106</v>
      </c>
      <c r="C28" t="s">
        <v>75</v>
      </c>
      <c r="D28" s="1" t="s">
        <v>23</v>
      </c>
      <c r="E28">
        <v>10.834</v>
      </c>
      <c r="F28">
        <v>9.5990000000000002</v>
      </c>
      <c r="G28">
        <v>9.2110000000000003</v>
      </c>
      <c r="H28">
        <v>8.8689999999999998</v>
      </c>
      <c r="I28">
        <v>7.8659999999999997</v>
      </c>
      <c r="J28">
        <v>7.73</v>
      </c>
      <c r="K28">
        <v>6.7770000000000001</v>
      </c>
      <c r="L28">
        <v>6.0759999999999996</v>
      </c>
      <c r="M28">
        <v>6.7229999999999999</v>
      </c>
      <c r="N28">
        <v>7.7489999999999997</v>
      </c>
      <c r="O28">
        <v>8.3629999999999995</v>
      </c>
      <c r="P28">
        <v>8.359</v>
      </c>
      <c r="Q28">
        <v>10.654999999999999</v>
      </c>
      <c r="R28">
        <v>12.148999999999999</v>
      </c>
      <c r="S28">
        <v>12.683</v>
      </c>
      <c r="T28">
        <v>11.896000000000001</v>
      </c>
      <c r="U28">
        <v>11.688000000000001</v>
      </c>
      <c r="V28">
        <v>11.211</v>
      </c>
      <c r="W28">
        <v>10.538</v>
      </c>
      <c r="X28">
        <v>9.8840000000000003</v>
      </c>
      <c r="Y28">
        <v>9.1920000000000002</v>
      </c>
      <c r="Z28">
        <v>9.4969999999999999</v>
      </c>
      <c r="AA28">
        <v>8.0690000000000008</v>
      </c>
      <c r="AB28">
        <v>7.6269999999999998</v>
      </c>
      <c r="AC28">
        <v>6.5</v>
      </c>
    </row>
    <row r="29" spans="1:29" x14ac:dyDescent="0.3">
      <c r="A29" t="s">
        <v>4</v>
      </c>
      <c r="B29" s="1" t="s">
        <v>106</v>
      </c>
      <c r="C29" t="s">
        <v>64</v>
      </c>
      <c r="D29" s="1" t="s">
        <v>50</v>
      </c>
      <c r="E29">
        <v>56942108</v>
      </c>
      <c r="F29">
        <v>56976981</v>
      </c>
      <c r="G29">
        <v>57089824</v>
      </c>
      <c r="H29">
        <v>57399184</v>
      </c>
      <c r="I29">
        <v>57828179</v>
      </c>
      <c r="J29">
        <v>58166682</v>
      </c>
      <c r="K29">
        <v>58399861</v>
      </c>
      <c r="L29">
        <v>58756247</v>
      </c>
      <c r="M29">
        <v>59211181</v>
      </c>
      <c r="N29">
        <v>59555454</v>
      </c>
      <c r="O29">
        <v>59819407</v>
      </c>
      <c r="P29">
        <v>60026841</v>
      </c>
      <c r="Q29">
        <v>60191247</v>
      </c>
      <c r="R29">
        <v>60311613</v>
      </c>
      <c r="S29">
        <v>60320707</v>
      </c>
      <c r="T29">
        <v>60229605</v>
      </c>
      <c r="U29">
        <v>60115223</v>
      </c>
      <c r="V29">
        <v>60002252</v>
      </c>
      <c r="W29">
        <v>59877221</v>
      </c>
      <c r="X29">
        <v>59729081</v>
      </c>
      <c r="Y29">
        <v>59438851</v>
      </c>
      <c r="Z29">
        <v>59133173</v>
      </c>
      <c r="AA29">
        <v>59013667</v>
      </c>
      <c r="AB29">
        <v>58984216</v>
      </c>
      <c r="AC29">
        <v>58952704</v>
      </c>
    </row>
    <row r="30" spans="1:29" x14ac:dyDescent="0.3">
      <c r="A30" t="s">
        <v>103</v>
      </c>
      <c r="B30" s="1" t="s">
        <v>54</v>
      </c>
      <c r="C30" t="s">
        <v>73</v>
      </c>
      <c r="D30" s="1" t="s">
        <v>72</v>
      </c>
      <c r="E30">
        <v>26225.16977341492</v>
      </c>
      <c r="F30">
        <v>26955.71280322782</v>
      </c>
      <c r="G30">
        <v>29446.53308728684</v>
      </c>
      <c r="H30">
        <v>35896.750463070552</v>
      </c>
      <c r="I30">
        <v>40611.341435309063</v>
      </c>
      <c r="J30">
        <v>42165.396168387968</v>
      </c>
      <c r="K30">
        <v>45123.543240642568</v>
      </c>
      <c r="L30">
        <v>52100.79962859473</v>
      </c>
      <c r="M30">
        <v>58246.702690587445</v>
      </c>
      <c r="N30">
        <v>53172.026158141831</v>
      </c>
      <c r="O30">
        <v>51305.733853397338</v>
      </c>
      <c r="P30">
        <v>54701.772803061118</v>
      </c>
      <c r="Q30">
        <v>50473.944200268867</v>
      </c>
      <c r="R30">
        <v>52602.286052076568</v>
      </c>
      <c r="S30">
        <v>53457.223486432231</v>
      </c>
      <c r="T30">
        <v>45793.813543469711</v>
      </c>
      <c r="U30">
        <v>46808.529149250287</v>
      </c>
      <c r="V30">
        <v>49513.681734638398</v>
      </c>
      <c r="W30">
        <v>53955.077002426588</v>
      </c>
      <c r="X30">
        <v>53554.900749147506</v>
      </c>
      <c r="Y30">
        <v>53467.927741373729</v>
      </c>
      <c r="Z30">
        <v>60141.988091149229</v>
      </c>
      <c r="AA30">
        <v>59123.318556486993</v>
      </c>
      <c r="AB30">
        <v>63515.603078001921</v>
      </c>
      <c r="AC30">
        <v>67465.32081268754</v>
      </c>
    </row>
    <row r="31" spans="1:29" x14ac:dyDescent="0.3">
      <c r="A31" t="s">
        <v>103</v>
      </c>
      <c r="B31" s="1" t="s">
        <v>54</v>
      </c>
      <c r="C31" t="s">
        <v>39</v>
      </c>
      <c r="D31" s="1" t="s">
        <v>13</v>
      </c>
      <c r="E31">
        <v>2.3605242578350598</v>
      </c>
      <c r="F31">
        <v>4.15583998647742</v>
      </c>
      <c r="G31">
        <v>3.2875354185016201</v>
      </c>
      <c r="H31">
        <v>2.0919945670734901</v>
      </c>
      <c r="I31">
        <v>1.2636479497031301</v>
      </c>
      <c r="J31">
        <v>1.6881313636312101</v>
      </c>
      <c r="K31">
        <v>1.10150138046139</v>
      </c>
      <c r="L31">
        <v>1.6138561707203101</v>
      </c>
      <c r="M31">
        <v>2.48650272563403</v>
      </c>
      <c r="N31">
        <v>1.1897753827351001</v>
      </c>
      <c r="O31">
        <v>1.2745772741866299</v>
      </c>
      <c r="P31">
        <v>2.3420865862313298</v>
      </c>
      <c r="Q31">
        <v>2.4558802429575799</v>
      </c>
      <c r="R31">
        <v>2.5113782238300901</v>
      </c>
      <c r="S31">
        <v>0.97106167892349704</v>
      </c>
      <c r="T31">
        <v>0.60093579119456897</v>
      </c>
      <c r="U31">
        <v>0.319406464338503</v>
      </c>
      <c r="V31">
        <v>1.3796878665669401</v>
      </c>
      <c r="W31">
        <v>1.7036188125357901</v>
      </c>
      <c r="X31">
        <v>2.6339740394825402</v>
      </c>
      <c r="Y31">
        <v>1.26788070731057</v>
      </c>
      <c r="Z31">
        <v>2.68123345078501</v>
      </c>
      <c r="AA31">
        <v>9.9981725517268707</v>
      </c>
      <c r="AB31">
        <v>3.8423199748953198</v>
      </c>
      <c r="AC31">
        <v>3.3463989547502502</v>
      </c>
    </row>
    <row r="32" spans="1:29" x14ac:dyDescent="0.3">
      <c r="A32" t="s">
        <v>103</v>
      </c>
      <c r="B32" s="1" t="s">
        <v>54</v>
      </c>
      <c r="C32" t="s">
        <v>75</v>
      </c>
      <c r="D32" s="1" t="s">
        <v>23</v>
      </c>
      <c r="E32">
        <v>2.7250000000000001</v>
      </c>
      <c r="F32">
        <v>2.1190000000000002</v>
      </c>
      <c r="G32">
        <v>2.5539999999999998</v>
      </c>
      <c r="H32">
        <v>3.593</v>
      </c>
      <c r="I32">
        <v>4.6459999999999999</v>
      </c>
      <c r="J32">
        <v>5.8719999999999999</v>
      </c>
      <c r="K32">
        <v>5.0069999999999997</v>
      </c>
      <c r="L32">
        <v>4.1529999999999996</v>
      </c>
      <c r="M32">
        <v>3.6579999999999999</v>
      </c>
      <c r="N32">
        <v>4.3520000000000003</v>
      </c>
      <c r="O32">
        <v>4.9909999999999997</v>
      </c>
      <c r="P32">
        <v>4.9770000000000003</v>
      </c>
      <c r="Q32">
        <v>5.8209999999999997</v>
      </c>
      <c r="R32">
        <v>7.2409999999999997</v>
      </c>
      <c r="S32">
        <v>7.4189999999999996</v>
      </c>
      <c r="T32">
        <v>6.8719999999999999</v>
      </c>
      <c r="U32">
        <v>6.0069999999999997</v>
      </c>
      <c r="V32">
        <v>4.8369999999999997</v>
      </c>
      <c r="W32">
        <v>3.8319999999999999</v>
      </c>
      <c r="X32">
        <v>3.379</v>
      </c>
      <c r="Y32">
        <v>3.82</v>
      </c>
      <c r="Z32">
        <v>4.2089999999999996</v>
      </c>
      <c r="AA32">
        <v>3.5259999999999998</v>
      </c>
      <c r="AB32">
        <v>3.5350000000000001</v>
      </c>
      <c r="AC32">
        <v>3.7</v>
      </c>
    </row>
    <row r="33" spans="1:29" x14ac:dyDescent="0.3">
      <c r="A33" t="s">
        <v>103</v>
      </c>
      <c r="B33" s="1" t="s">
        <v>54</v>
      </c>
      <c r="C33" t="s">
        <v>64</v>
      </c>
      <c r="D33" s="1" t="s">
        <v>50</v>
      </c>
      <c r="E33">
        <v>15925513</v>
      </c>
      <c r="F33">
        <v>16046180</v>
      </c>
      <c r="G33">
        <v>16148929</v>
      </c>
      <c r="H33">
        <v>16225302</v>
      </c>
      <c r="I33">
        <v>16281779</v>
      </c>
      <c r="J33">
        <v>16319868</v>
      </c>
      <c r="K33">
        <v>16346101</v>
      </c>
      <c r="L33">
        <v>16381696</v>
      </c>
      <c r="M33">
        <v>16445593</v>
      </c>
      <c r="N33">
        <v>16530388</v>
      </c>
      <c r="O33">
        <v>16615394</v>
      </c>
      <c r="P33">
        <v>16693074</v>
      </c>
      <c r="Q33">
        <v>16754962</v>
      </c>
      <c r="R33">
        <v>16804432</v>
      </c>
      <c r="S33">
        <v>16865008</v>
      </c>
      <c r="T33">
        <v>16939923</v>
      </c>
      <c r="U33">
        <v>17030314</v>
      </c>
      <c r="V33">
        <v>17131296</v>
      </c>
      <c r="W33">
        <v>17231624</v>
      </c>
      <c r="X33">
        <v>17344874</v>
      </c>
      <c r="Y33">
        <v>17441500</v>
      </c>
      <c r="Z33">
        <v>17533044</v>
      </c>
      <c r="AA33">
        <v>17700982</v>
      </c>
      <c r="AB33">
        <v>17877117</v>
      </c>
      <c r="AC33">
        <v>17993485</v>
      </c>
    </row>
    <row r="34" spans="1:29" x14ac:dyDescent="0.3">
      <c r="A34" t="s">
        <v>120</v>
      </c>
      <c r="B34" s="1" t="s">
        <v>68</v>
      </c>
      <c r="C34" t="s">
        <v>73</v>
      </c>
      <c r="D34" s="1" t="s">
        <v>72</v>
      </c>
      <c r="E34">
        <v>26334.567205050083</v>
      </c>
      <c r="F34">
        <v>28282.40988207296</v>
      </c>
      <c r="G34">
        <v>32705.434556569817</v>
      </c>
      <c r="H34">
        <v>41203.529584756849</v>
      </c>
      <c r="I34">
        <v>47754.202319424396</v>
      </c>
      <c r="J34">
        <v>50933.021609558884</v>
      </c>
      <c r="K34">
        <v>54329.161859962383</v>
      </c>
      <c r="L34">
        <v>61396.417461175995</v>
      </c>
      <c r="M34">
        <v>61353.106562952322</v>
      </c>
      <c r="N34">
        <v>52133.090616254391</v>
      </c>
      <c r="O34">
        <v>48623.966642248728</v>
      </c>
      <c r="P34">
        <v>52613.854035568875</v>
      </c>
      <c r="Q34">
        <v>49335.840809955524</v>
      </c>
      <c r="R34">
        <v>52537.610864869188</v>
      </c>
      <c r="S34">
        <v>57214.537978570908</v>
      </c>
      <c r="T34">
        <v>64250.138518125656</v>
      </c>
      <c r="U34">
        <v>64129.557154238319</v>
      </c>
      <c r="V34">
        <v>72161.4047531385</v>
      </c>
      <c r="W34">
        <v>80804.112316482628</v>
      </c>
      <c r="X34">
        <v>81827.668887399603</v>
      </c>
      <c r="Y34">
        <v>86514.070610875409</v>
      </c>
      <c r="Z34">
        <v>103783.44628447875</v>
      </c>
      <c r="AA34">
        <v>105190.68595273084</v>
      </c>
      <c r="AB34">
        <v>106818.91713080389</v>
      </c>
      <c r="AC34">
        <v>112894.95324080539</v>
      </c>
    </row>
    <row r="35" spans="1:29" x14ac:dyDescent="0.3">
      <c r="A35" t="s">
        <v>120</v>
      </c>
      <c r="B35" s="1" t="s">
        <v>68</v>
      </c>
      <c r="C35" t="s">
        <v>39</v>
      </c>
      <c r="D35" s="1" t="s">
        <v>13</v>
      </c>
      <c r="E35">
        <v>5.5634402497870701</v>
      </c>
      <c r="F35">
        <v>4.8668997042215798</v>
      </c>
      <c r="G35">
        <v>4.62820512820515</v>
      </c>
      <c r="H35">
        <v>3.4922190907976498</v>
      </c>
      <c r="I35">
        <v>2.17854605730522</v>
      </c>
      <c r="J35">
        <v>2.4565469293163802</v>
      </c>
      <c r="K35">
        <v>3.9357611400135299</v>
      </c>
      <c r="L35">
        <v>4.8857453754080096</v>
      </c>
      <c r="M35">
        <v>4.0356883494139097</v>
      </c>
      <c r="N35">
        <v>-4.4475468687674597</v>
      </c>
      <c r="O35">
        <v>-0.91838864537677301</v>
      </c>
      <c r="P35">
        <v>2.5489783020855001</v>
      </c>
      <c r="Q35">
        <v>1.69474116680366</v>
      </c>
      <c r="R35">
        <v>0.515099484900573</v>
      </c>
      <c r="S35">
        <v>0.190916398713744</v>
      </c>
      <c r="T35">
        <v>-0.330959783371787</v>
      </c>
      <c r="U35">
        <v>2.01247735963236E-2</v>
      </c>
      <c r="V35">
        <v>0.36217303822937702</v>
      </c>
      <c r="W35">
        <v>0.47113071371291498</v>
      </c>
      <c r="X35">
        <v>0.93784296118927302</v>
      </c>
      <c r="Y35">
        <v>-0.32618365128003202</v>
      </c>
      <c r="Z35">
        <v>2.3403411344704299</v>
      </c>
      <c r="AA35">
        <v>7.8294573643410397</v>
      </c>
      <c r="AB35">
        <v>6.2994248741912404</v>
      </c>
      <c r="AC35">
        <v>2.1134499957731601</v>
      </c>
    </row>
    <row r="36" spans="1:29" x14ac:dyDescent="0.3">
      <c r="A36" t="s">
        <v>120</v>
      </c>
      <c r="B36" s="1" t="s">
        <v>68</v>
      </c>
      <c r="C36" t="s">
        <v>75</v>
      </c>
      <c r="D36" s="1" t="s">
        <v>23</v>
      </c>
      <c r="E36">
        <v>4.3179999999999996</v>
      </c>
      <c r="F36">
        <v>3.6840000000000002</v>
      </c>
      <c r="G36">
        <v>4.2160000000000002</v>
      </c>
      <c r="H36">
        <v>4.4779999999999998</v>
      </c>
      <c r="I36">
        <v>4.4909999999999997</v>
      </c>
      <c r="J36">
        <v>4.2370000000000001</v>
      </c>
      <c r="K36">
        <v>4.3550000000000004</v>
      </c>
      <c r="L36">
        <v>4.9800000000000004</v>
      </c>
      <c r="M36">
        <v>6.774</v>
      </c>
      <c r="N36">
        <v>12.609</v>
      </c>
      <c r="O36">
        <v>14.534000000000001</v>
      </c>
      <c r="P36">
        <v>15.353999999999999</v>
      </c>
      <c r="Q36">
        <v>15.451000000000001</v>
      </c>
      <c r="R36">
        <v>13.734999999999999</v>
      </c>
      <c r="S36">
        <v>11.858000000000001</v>
      </c>
      <c r="T36">
        <v>9.9079999999999995</v>
      </c>
      <c r="U36">
        <v>8.3740000000000006</v>
      </c>
      <c r="V36">
        <v>6.7130000000000001</v>
      </c>
      <c r="W36">
        <v>5.7409999999999997</v>
      </c>
      <c r="X36">
        <v>4.95</v>
      </c>
      <c r="Y36">
        <v>5.6230000000000002</v>
      </c>
      <c r="Z36">
        <v>6.3570000000000002</v>
      </c>
      <c r="AA36">
        <v>4.4649999999999999</v>
      </c>
      <c r="AB36">
        <v>4.2430000000000003</v>
      </c>
      <c r="AC36">
        <v>4.3</v>
      </c>
    </row>
    <row r="37" spans="1:29" x14ac:dyDescent="0.3">
      <c r="A37" t="s">
        <v>120</v>
      </c>
      <c r="B37" s="1" t="s">
        <v>68</v>
      </c>
      <c r="C37" t="s">
        <v>64</v>
      </c>
      <c r="D37" s="1" t="s">
        <v>50</v>
      </c>
      <c r="E37">
        <v>3805174</v>
      </c>
      <c r="F37">
        <v>3866243</v>
      </c>
      <c r="G37">
        <v>3931947</v>
      </c>
      <c r="H37">
        <v>3996521</v>
      </c>
      <c r="I37">
        <v>4070262</v>
      </c>
      <c r="J37">
        <v>4159914</v>
      </c>
      <c r="K37">
        <v>4273591</v>
      </c>
      <c r="L37">
        <v>4398942</v>
      </c>
      <c r="M37">
        <v>4489544</v>
      </c>
      <c r="N37">
        <v>4535375</v>
      </c>
      <c r="O37">
        <v>4560155</v>
      </c>
      <c r="P37">
        <v>4580084</v>
      </c>
      <c r="Q37">
        <v>4599533</v>
      </c>
      <c r="R37">
        <v>4623816</v>
      </c>
      <c r="S37">
        <v>4657740</v>
      </c>
      <c r="T37">
        <v>4701957</v>
      </c>
      <c r="U37">
        <v>4762722</v>
      </c>
      <c r="V37">
        <v>4827445</v>
      </c>
      <c r="W37">
        <v>4898022</v>
      </c>
      <c r="X37">
        <v>4976456</v>
      </c>
      <c r="Y37">
        <v>5039747</v>
      </c>
      <c r="Z37">
        <v>5110585</v>
      </c>
      <c r="AA37">
        <v>5212836</v>
      </c>
      <c r="AB37">
        <v>5311538</v>
      </c>
      <c r="AC37">
        <v>5395790</v>
      </c>
    </row>
    <row r="38" spans="1:29" x14ac:dyDescent="0.3">
      <c r="A38" t="s">
        <v>2</v>
      </c>
      <c r="B38" s="1" t="s">
        <v>24</v>
      </c>
      <c r="C38" t="s">
        <v>73</v>
      </c>
      <c r="D38" s="1" t="s">
        <v>72</v>
      </c>
      <c r="E38">
        <v>28383.876109499641</v>
      </c>
      <c r="F38">
        <v>28013.872963550777</v>
      </c>
      <c r="G38">
        <v>30158.701780785788</v>
      </c>
      <c r="H38">
        <v>34556.772609590509</v>
      </c>
      <c r="I38">
        <v>40504.411810392849</v>
      </c>
      <c r="J38">
        <v>42240.246298754661</v>
      </c>
      <c r="K38">
        <v>44695.161023423956</v>
      </c>
      <c r="L38">
        <v>50629.07991728872</v>
      </c>
      <c r="M38">
        <v>47652.403069188105</v>
      </c>
      <c r="N38">
        <v>39009.371554782112</v>
      </c>
      <c r="O38">
        <v>39778.322052856478</v>
      </c>
      <c r="P38">
        <v>42295.927383532166</v>
      </c>
      <c r="Q38">
        <v>42688.326372837204</v>
      </c>
      <c r="R38">
        <v>43607.663682737053</v>
      </c>
      <c r="S38">
        <v>47746.981064552092</v>
      </c>
      <c r="T38">
        <v>45256.04022705699</v>
      </c>
      <c r="U38">
        <v>41258.5374285695</v>
      </c>
      <c r="V38">
        <v>40918.052087094409</v>
      </c>
      <c r="W38">
        <v>43704.316229668715</v>
      </c>
      <c r="X38">
        <v>43160.684397179866</v>
      </c>
      <c r="Y38">
        <v>40815.125536478736</v>
      </c>
      <c r="Z38">
        <v>47695.649152347447</v>
      </c>
      <c r="AA38">
        <v>47034.779562147589</v>
      </c>
      <c r="AB38">
        <v>49919.689662158606</v>
      </c>
      <c r="AC38">
        <v>53341.31310942617</v>
      </c>
    </row>
    <row r="39" spans="1:29" x14ac:dyDescent="0.3">
      <c r="A39" t="s">
        <v>2</v>
      </c>
      <c r="B39" s="1" t="s">
        <v>24</v>
      </c>
      <c r="C39" t="s">
        <v>39</v>
      </c>
      <c r="D39" s="1" t="s">
        <v>13</v>
      </c>
      <c r="E39">
        <v>1.18295624210408</v>
      </c>
      <c r="F39">
        <v>1.5323496027241701</v>
      </c>
      <c r="G39">
        <v>1.52040245947455</v>
      </c>
      <c r="H39">
        <v>1.3765003854201301</v>
      </c>
      <c r="I39">
        <v>1.3903975668042099</v>
      </c>
      <c r="J39">
        <v>2.0891364902506901</v>
      </c>
      <c r="K39">
        <v>2.4556616643928999</v>
      </c>
      <c r="L39">
        <v>2.38656150773327</v>
      </c>
      <c r="M39">
        <v>3.5214085634253798</v>
      </c>
      <c r="N39">
        <v>1.9617317356010899</v>
      </c>
      <c r="O39">
        <v>2.4926547246706501</v>
      </c>
      <c r="P39">
        <v>3.8561124468282002</v>
      </c>
      <c r="Q39">
        <v>2.5732347965453002</v>
      </c>
      <c r="R39">
        <v>2.2916666666665901</v>
      </c>
      <c r="S39">
        <v>1.4511201629327899</v>
      </c>
      <c r="T39">
        <v>0.36804684232536</v>
      </c>
      <c r="U39">
        <v>1.00841736811409</v>
      </c>
      <c r="V39">
        <v>2.55775577557747</v>
      </c>
      <c r="W39">
        <v>2.2928399034593698</v>
      </c>
      <c r="X39">
        <v>1.73810460086512</v>
      </c>
      <c r="Y39">
        <v>0.98948670377249104</v>
      </c>
      <c r="Z39">
        <v>2.51837109614213</v>
      </c>
      <c r="AA39">
        <v>7.9220488314790201</v>
      </c>
      <c r="AB39">
        <v>6.7939670679396196</v>
      </c>
      <c r="AC39">
        <v>3.2715729463591998</v>
      </c>
    </row>
    <row r="40" spans="1:29" x14ac:dyDescent="0.3">
      <c r="A40" t="s">
        <v>2</v>
      </c>
      <c r="B40" s="1" t="s">
        <v>24</v>
      </c>
      <c r="C40" t="s">
        <v>75</v>
      </c>
      <c r="D40" s="1" t="s">
        <v>23</v>
      </c>
      <c r="E40">
        <v>5.5579999999999998</v>
      </c>
      <c r="F40">
        <v>4.6959999999999997</v>
      </c>
      <c r="G40">
        <v>5.0369999999999999</v>
      </c>
      <c r="H40">
        <v>4.8070000000000004</v>
      </c>
      <c r="I40">
        <v>4.5940000000000003</v>
      </c>
      <c r="J40">
        <v>4.8840000000000003</v>
      </c>
      <c r="K40">
        <v>5.4720000000000004</v>
      </c>
      <c r="L40">
        <v>5.399</v>
      </c>
      <c r="M40">
        <v>5.7480000000000002</v>
      </c>
      <c r="N40">
        <v>7.6829999999999998</v>
      </c>
      <c r="O40">
        <v>7.9729999999999999</v>
      </c>
      <c r="P40">
        <v>8.1950000000000003</v>
      </c>
      <c r="Q40">
        <v>8.2789999999999999</v>
      </c>
      <c r="R40">
        <v>7.7519999999999998</v>
      </c>
      <c r="S40">
        <v>6.3979999999999997</v>
      </c>
      <c r="T40">
        <v>5.5519999999999996</v>
      </c>
      <c r="U40">
        <v>4.9089999999999998</v>
      </c>
      <c r="V40">
        <v>4.5010000000000003</v>
      </c>
      <c r="W40">
        <v>4.1449999999999996</v>
      </c>
      <c r="X40">
        <v>3.657</v>
      </c>
      <c r="Y40">
        <v>4.4720000000000004</v>
      </c>
      <c r="Z40">
        <v>4.8639999999999999</v>
      </c>
      <c r="AA40">
        <v>3.7679999999999998</v>
      </c>
      <c r="AB40">
        <v>4.0250000000000004</v>
      </c>
      <c r="AC40">
        <v>4.3609999999999998</v>
      </c>
    </row>
    <row r="41" spans="1:29" x14ac:dyDescent="0.3">
      <c r="A41" t="s">
        <v>2</v>
      </c>
      <c r="B41" s="1" t="s">
        <v>24</v>
      </c>
      <c r="C41" t="s">
        <v>64</v>
      </c>
      <c r="D41" s="1" t="s">
        <v>50</v>
      </c>
      <c r="E41">
        <v>58892514</v>
      </c>
      <c r="F41">
        <v>59119673</v>
      </c>
      <c r="G41">
        <v>59370479</v>
      </c>
      <c r="H41">
        <v>59647577</v>
      </c>
      <c r="I41">
        <v>59987905</v>
      </c>
      <c r="J41">
        <v>60401206</v>
      </c>
      <c r="K41">
        <v>60846820</v>
      </c>
      <c r="L41">
        <v>61322463</v>
      </c>
      <c r="M41">
        <v>61806995</v>
      </c>
      <c r="N41">
        <v>62276270</v>
      </c>
      <c r="O41">
        <v>62766365</v>
      </c>
      <c r="P41">
        <v>63258810</v>
      </c>
      <c r="Q41">
        <v>63711000</v>
      </c>
      <c r="R41">
        <v>64138000</v>
      </c>
      <c r="S41">
        <v>64619000</v>
      </c>
      <c r="T41">
        <v>65087000</v>
      </c>
      <c r="U41">
        <v>65606000</v>
      </c>
      <c r="V41">
        <v>65964000</v>
      </c>
      <c r="W41">
        <v>66287000</v>
      </c>
      <c r="X41">
        <v>66628000</v>
      </c>
      <c r="Y41">
        <v>66740000</v>
      </c>
      <c r="Z41">
        <v>66978000</v>
      </c>
      <c r="AA41">
        <v>67636000</v>
      </c>
      <c r="AB41">
        <v>68526000</v>
      </c>
      <c r="AC41">
        <v>69281000</v>
      </c>
    </row>
    <row r="42" spans="1:29" x14ac:dyDescent="0.3">
      <c r="A42" t="s">
        <v>53</v>
      </c>
      <c r="B42" s="1" t="s">
        <v>25</v>
      </c>
      <c r="C42" t="s">
        <v>73</v>
      </c>
      <c r="D42" s="1" t="s">
        <v>72</v>
      </c>
      <c r="E42">
        <v>14743.267103145477</v>
      </c>
      <c r="F42">
        <v>15368.233798443476</v>
      </c>
      <c r="G42">
        <v>17111.068505894054</v>
      </c>
      <c r="H42">
        <v>21522.01709902615</v>
      </c>
      <c r="I42">
        <v>24925.02678445755</v>
      </c>
      <c r="J42">
        <v>26450.953013038234</v>
      </c>
      <c r="K42">
        <v>28421.686527407033</v>
      </c>
      <c r="L42">
        <v>32652.015594701981</v>
      </c>
      <c r="M42">
        <v>35603.248328071044</v>
      </c>
      <c r="N42">
        <v>32279.820847615145</v>
      </c>
      <c r="O42">
        <v>30658.742228291194</v>
      </c>
      <c r="P42">
        <v>31824.621913477695</v>
      </c>
      <c r="Q42">
        <v>28456.44381514769</v>
      </c>
      <c r="R42">
        <v>29228.846559842044</v>
      </c>
      <c r="S42">
        <v>29707.765509467015</v>
      </c>
      <c r="T42">
        <v>25982.44161977755</v>
      </c>
      <c r="U42">
        <v>26755.606114939812</v>
      </c>
      <c r="V42">
        <v>28381.342559690624</v>
      </c>
      <c r="W42">
        <v>30602.42128811132</v>
      </c>
      <c r="X42">
        <v>29786.524568900699</v>
      </c>
      <c r="Y42">
        <v>27233.942646160765</v>
      </c>
      <c r="Z42">
        <v>30799.477593777483</v>
      </c>
      <c r="AA42">
        <v>30319.498719661635</v>
      </c>
      <c r="AB42">
        <v>33493.222540911127</v>
      </c>
      <c r="AC42">
        <v>35326.768306927806</v>
      </c>
    </row>
    <row r="43" spans="1:29" x14ac:dyDescent="0.3">
      <c r="A43" t="s">
        <v>53</v>
      </c>
      <c r="B43" s="1" t="s">
        <v>25</v>
      </c>
      <c r="C43" t="s">
        <v>39</v>
      </c>
      <c r="D43" s="1" t="s">
        <v>13</v>
      </c>
      <c r="E43">
        <v>3.4335165710398798</v>
      </c>
      <c r="F43">
        <v>3.58983367750045</v>
      </c>
      <c r="G43">
        <v>3.06545608883828</v>
      </c>
      <c r="H43">
        <v>3.03913607750866</v>
      </c>
      <c r="I43">
        <v>3.0394837875338401</v>
      </c>
      <c r="J43">
        <v>3.3683142609489098</v>
      </c>
      <c r="K43">
        <v>3.5158102691812498</v>
      </c>
      <c r="L43">
        <v>2.7865918101789302</v>
      </c>
      <c r="M43">
        <v>4.0756625165524998</v>
      </c>
      <c r="N43">
        <v>-0.28793362792947802</v>
      </c>
      <c r="O43">
        <v>1.79982772602942</v>
      </c>
      <c r="P43">
        <v>3.1960942501808098</v>
      </c>
      <c r="Q43">
        <v>2.4459573503020202</v>
      </c>
      <c r="R43">
        <v>1.40871603132886</v>
      </c>
      <c r="S43">
        <v>-0.15092121765504801</v>
      </c>
      <c r="T43">
        <v>-0.50032742014990395</v>
      </c>
      <c r="U43">
        <v>-0.20272190336745399</v>
      </c>
      <c r="V43">
        <v>1.95575728963107</v>
      </c>
      <c r="W43">
        <v>1.6753982146528701</v>
      </c>
      <c r="X43">
        <v>0.699267137814226</v>
      </c>
      <c r="Y43">
        <v>-0.32256461686194199</v>
      </c>
      <c r="Z43">
        <v>3.0930498953180501</v>
      </c>
      <c r="AA43">
        <v>8.3904194074889595</v>
      </c>
      <c r="AB43">
        <v>3.5324728766789799</v>
      </c>
      <c r="AC43">
        <v>2.7740698727587301</v>
      </c>
    </row>
    <row r="44" spans="1:29" x14ac:dyDescent="0.3">
      <c r="A44" t="s">
        <v>53</v>
      </c>
      <c r="B44" s="1" t="s">
        <v>25</v>
      </c>
      <c r="C44" t="s">
        <v>75</v>
      </c>
      <c r="D44" s="1" t="s">
        <v>23</v>
      </c>
      <c r="E44">
        <v>13.785</v>
      </c>
      <c r="F44">
        <v>10.348000000000001</v>
      </c>
      <c r="G44">
        <v>11.146000000000001</v>
      </c>
      <c r="H44">
        <v>11.282999999999999</v>
      </c>
      <c r="I44">
        <v>11.09</v>
      </c>
      <c r="J44">
        <v>9.1460000000000008</v>
      </c>
      <c r="K44">
        <v>8.452</v>
      </c>
      <c r="L44">
        <v>8.2319999999999993</v>
      </c>
      <c r="M44">
        <v>11.254</v>
      </c>
      <c r="N44">
        <v>17.856999999999999</v>
      </c>
      <c r="O44">
        <v>19.86</v>
      </c>
      <c r="P44">
        <v>21.39</v>
      </c>
      <c r="Q44">
        <v>24.789000000000001</v>
      </c>
      <c r="R44">
        <v>26.094000000000001</v>
      </c>
      <c r="S44">
        <v>24.440999999999999</v>
      </c>
      <c r="T44">
        <v>22.056999999999999</v>
      </c>
      <c r="U44">
        <v>19.635000000000002</v>
      </c>
      <c r="V44">
        <v>17.224</v>
      </c>
      <c r="W44">
        <v>15.255000000000001</v>
      </c>
      <c r="X44">
        <v>14.103999999999999</v>
      </c>
      <c r="Y44">
        <v>15.532</v>
      </c>
      <c r="Z44">
        <v>14.914</v>
      </c>
      <c r="AA44">
        <v>13.032999999999999</v>
      </c>
      <c r="AB44">
        <v>12.179</v>
      </c>
      <c r="AC44">
        <v>11.4</v>
      </c>
    </row>
    <row r="45" spans="1:29" x14ac:dyDescent="0.3">
      <c r="A45" t="s">
        <v>53</v>
      </c>
      <c r="B45" s="1" t="s">
        <v>25</v>
      </c>
      <c r="C45" t="s">
        <v>64</v>
      </c>
      <c r="D45" s="1" t="s">
        <v>50</v>
      </c>
      <c r="E45">
        <v>40567864</v>
      </c>
      <c r="F45">
        <v>40850412</v>
      </c>
      <c r="G45">
        <v>41431558</v>
      </c>
      <c r="H45">
        <v>42187645</v>
      </c>
      <c r="I45">
        <v>42921895</v>
      </c>
      <c r="J45">
        <v>43653155</v>
      </c>
      <c r="K45">
        <v>44397319</v>
      </c>
      <c r="L45">
        <v>45226803</v>
      </c>
      <c r="M45">
        <v>45954106</v>
      </c>
      <c r="N45">
        <v>46362946</v>
      </c>
      <c r="O45">
        <v>46576897</v>
      </c>
      <c r="P45">
        <v>46742697</v>
      </c>
      <c r="Q45">
        <v>46773055</v>
      </c>
      <c r="R45">
        <v>46604197</v>
      </c>
      <c r="S45">
        <v>46460733</v>
      </c>
      <c r="T45">
        <v>46422303</v>
      </c>
      <c r="U45">
        <v>46458139</v>
      </c>
      <c r="V45">
        <v>46571232</v>
      </c>
      <c r="W45">
        <v>46782011</v>
      </c>
      <c r="X45">
        <v>47118501</v>
      </c>
      <c r="Y45">
        <v>47359424</v>
      </c>
      <c r="Z45">
        <v>47443821</v>
      </c>
      <c r="AA45">
        <v>47786102</v>
      </c>
      <c r="AB45">
        <v>48352528</v>
      </c>
      <c r="AC45">
        <v>48848840</v>
      </c>
    </row>
    <row r="46" spans="1:29" x14ac:dyDescent="0.3">
      <c r="A46" t="s">
        <v>14</v>
      </c>
      <c r="B46" s="1" t="s">
        <v>30</v>
      </c>
      <c r="C46" t="s">
        <v>73</v>
      </c>
      <c r="D46" s="1" t="s">
        <v>72</v>
      </c>
      <c r="E46">
        <v>39752.93739775502</v>
      </c>
      <c r="F46">
        <v>34910.166403686977</v>
      </c>
      <c r="G46">
        <v>33315.916517496204</v>
      </c>
      <c r="H46">
        <v>35808.681679238784</v>
      </c>
      <c r="I46">
        <v>38677.570806478747</v>
      </c>
      <c r="J46">
        <v>38158.675826396313</v>
      </c>
      <c r="K46">
        <v>36354.427164634937</v>
      </c>
      <c r="L46">
        <v>36129.95351329253</v>
      </c>
      <c r="M46">
        <v>40294.208130970161</v>
      </c>
      <c r="N46">
        <v>41678.178306319511</v>
      </c>
      <c r="O46">
        <v>45378.137810939865</v>
      </c>
      <c r="P46">
        <v>49122.077634247042</v>
      </c>
      <c r="Q46">
        <v>49626.683032757101</v>
      </c>
      <c r="R46">
        <v>41369.19484794981</v>
      </c>
      <c r="S46">
        <v>39172.847116194796</v>
      </c>
      <c r="T46">
        <v>35664.644611061267</v>
      </c>
      <c r="U46">
        <v>40214.968863156188</v>
      </c>
      <c r="V46">
        <v>39679.86352629483</v>
      </c>
      <c r="W46">
        <v>40645.47808651896</v>
      </c>
      <c r="X46">
        <v>41424.865560154343</v>
      </c>
      <c r="Y46">
        <v>41098.973900455276</v>
      </c>
      <c r="Z46">
        <v>41580.739040705004</v>
      </c>
      <c r="AA46">
        <v>35548.264522243298</v>
      </c>
      <c r="AB46">
        <v>35215.003535365977</v>
      </c>
      <c r="AC46">
        <v>33797.10142878761</v>
      </c>
    </row>
    <row r="47" spans="1:29" x14ac:dyDescent="0.3">
      <c r="A47" t="s">
        <v>14</v>
      </c>
      <c r="B47" s="1" t="s">
        <v>30</v>
      </c>
      <c r="C47" t="s">
        <v>39</v>
      </c>
      <c r="D47" s="1" t="s">
        <v>13</v>
      </c>
      <c r="E47">
        <v>-0.67657868359517503</v>
      </c>
      <c r="F47">
        <v>-0.74005550416273702</v>
      </c>
      <c r="G47">
        <v>-0.92349402694231997</v>
      </c>
      <c r="H47">
        <v>-0.25654181631602402</v>
      </c>
      <c r="I47">
        <v>-8.5733882031027095E-3</v>
      </c>
      <c r="J47">
        <v>-0.28294606876438999</v>
      </c>
      <c r="K47">
        <v>0.249355116079084</v>
      </c>
      <c r="L47">
        <v>6.0039454498668897E-2</v>
      </c>
      <c r="M47">
        <v>1.3800788616491999</v>
      </c>
      <c r="N47">
        <v>-1.3528367295171799</v>
      </c>
      <c r="O47">
        <v>-0.72824320751777805</v>
      </c>
      <c r="P47">
        <v>-0.27245561610123997</v>
      </c>
      <c r="Q47">
        <v>-4.4064510443260103E-2</v>
      </c>
      <c r="R47">
        <v>0.33503791218474099</v>
      </c>
      <c r="S47">
        <v>2.7592267135325299</v>
      </c>
      <c r="T47">
        <v>0.79527963057983897</v>
      </c>
      <c r="U47">
        <v>-0.127258844489753</v>
      </c>
      <c r="V47">
        <v>0.48419979612638497</v>
      </c>
      <c r="W47">
        <v>0.98909459802184796</v>
      </c>
      <c r="X47">
        <v>0.46877615938394901</v>
      </c>
      <c r="Y47">
        <v>-2.4995834027731E-2</v>
      </c>
      <c r="Z47">
        <v>-0.23335277939826299</v>
      </c>
      <c r="AA47">
        <v>2.4977027817225399</v>
      </c>
      <c r="AB47">
        <v>3.2681336593316299</v>
      </c>
      <c r="AC47">
        <v>2.7385368163524002</v>
      </c>
    </row>
    <row r="48" spans="1:29" x14ac:dyDescent="0.3">
      <c r="A48" t="s">
        <v>14</v>
      </c>
      <c r="B48" s="1" t="s">
        <v>30</v>
      </c>
      <c r="C48" t="s">
        <v>75</v>
      </c>
      <c r="D48" s="1" t="s">
        <v>23</v>
      </c>
      <c r="E48">
        <v>4.7480000000000002</v>
      </c>
      <c r="F48">
        <v>5.0199999999999996</v>
      </c>
      <c r="G48">
        <v>5.3860000000000001</v>
      </c>
      <c r="H48">
        <v>5.2510000000000003</v>
      </c>
      <c r="I48">
        <v>4.734</v>
      </c>
      <c r="J48">
        <v>4.4459999999999997</v>
      </c>
      <c r="K48">
        <v>4.1920000000000002</v>
      </c>
      <c r="L48">
        <v>3.8879999999999999</v>
      </c>
      <c r="M48">
        <v>4.0019999999999998</v>
      </c>
      <c r="N48">
        <v>5.0679999999999996</v>
      </c>
      <c r="O48">
        <v>5.1020000000000003</v>
      </c>
      <c r="P48">
        <v>4.55</v>
      </c>
      <c r="Q48">
        <v>4.3579999999999997</v>
      </c>
      <c r="R48">
        <v>4.0380000000000003</v>
      </c>
      <c r="S48">
        <v>3.589</v>
      </c>
      <c r="T48">
        <v>3.3849999999999998</v>
      </c>
      <c r="U48">
        <v>3.1320000000000001</v>
      </c>
      <c r="V48">
        <v>2.8220000000000001</v>
      </c>
      <c r="W48">
        <v>2.4670000000000001</v>
      </c>
      <c r="X48">
        <v>2.351</v>
      </c>
      <c r="Y48">
        <v>2.8090000000000002</v>
      </c>
      <c r="Z48">
        <v>2.8079999999999998</v>
      </c>
      <c r="AA48">
        <v>2.6139999999999999</v>
      </c>
      <c r="AB48">
        <v>2.6</v>
      </c>
      <c r="AC48">
        <v>2.5</v>
      </c>
    </row>
    <row r="49" spans="1:29" x14ac:dyDescent="0.3">
      <c r="A49" t="s">
        <v>14</v>
      </c>
      <c r="B49" s="1" t="s">
        <v>30</v>
      </c>
      <c r="C49" t="s">
        <v>64</v>
      </c>
      <c r="D49" s="1" t="s">
        <v>50</v>
      </c>
      <c r="E49">
        <v>126843000</v>
      </c>
      <c r="F49">
        <v>127149000</v>
      </c>
      <c r="G49">
        <v>127445000</v>
      </c>
      <c r="H49">
        <v>127718000</v>
      </c>
      <c r="I49">
        <v>127761000</v>
      </c>
      <c r="J49">
        <v>127773000</v>
      </c>
      <c r="K49">
        <v>127854000</v>
      </c>
      <c r="L49">
        <v>128001000</v>
      </c>
      <c r="M49">
        <v>128063000</v>
      </c>
      <c r="N49">
        <v>128047000</v>
      </c>
      <c r="O49">
        <v>128070000</v>
      </c>
      <c r="P49">
        <v>127833000</v>
      </c>
      <c r="Q49">
        <v>127629000</v>
      </c>
      <c r="R49">
        <v>127445000</v>
      </c>
      <c r="S49">
        <v>127276000</v>
      </c>
      <c r="T49">
        <v>127141000</v>
      </c>
      <c r="U49">
        <v>127076000</v>
      </c>
      <c r="V49">
        <v>126972000</v>
      </c>
      <c r="W49">
        <v>126811000</v>
      </c>
      <c r="X49">
        <v>126633000</v>
      </c>
      <c r="Y49">
        <v>126261000</v>
      </c>
      <c r="Z49">
        <v>125681593</v>
      </c>
      <c r="AA49">
        <v>125124989</v>
      </c>
      <c r="AB49">
        <v>124516650</v>
      </c>
      <c r="AC49">
        <v>123975371</v>
      </c>
    </row>
    <row r="50" spans="1:29" x14ac:dyDescent="0.3">
      <c r="A50" t="s">
        <v>118</v>
      </c>
      <c r="B50" s="1" t="s">
        <v>101</v>
      </c>
      <c r="C50" t="s">
        <v>73</v>
      </c>
      <c r="D50" s="1" t="s">
        <v>72</v>
      </c>
      <c r="E50">
        <v>3766.5481146603156</v>
      </c>
      <c r="F50">
        <v>3176.2893574752361</v>
      </c>
      <c r="G50">
        <v>2855.9401888576867</v>
      </c>
      <c r="H50">
        <v>3090.6070097454958</v>
      </c>
      <c r="I50">
        <v>3663.8231880639996</v>
      </c>
      <c r="J50">
        <v>4827.7817307471414</v>
      </c>
      <c r="K50">
        <v>5934.144709249681</v>
      </c>
      <c r="L50">
        <v>7409.6913067347305</v>
      </c>
      <c r="M50">
        <v>8908.3317653864833</v>
      </c>
      <c r="N50">
        <v>8678.6592244675994</v>
      </c>
      <c r="O50">
        <v>11403.282127874663</v>
      </c>
      <c r="P50">
        <v>13396.624356298567</v>
      </c>
      <c r="Q50">
        <v>12521.721351996648</v>
      </c>
      <c r="R50">
        <v>12458.891213881299</v>
      </c>
      <c r="S50">
        <v>12274.993968936304</v>
      </c>
      <c r="T50">
        <v>8936.1966171211279</v>
      </c>
      <c r="U50">
        <v>8836.2865273565749</v>
      </c>
      <c r="V50">
        <v>10080.509281930525</v>
      </c>
      <c r="W50">
        <v>9300.6616492321864</v>
      </c>
      <c r="X50">
        <v>9029.8332668107323</v>
      </c>
      <c r="Y50">
        <v>7074.1937833764405</v>
      </c>
      <c r="Z50">
        <v>7972.5366498645981</v>
      </c>
      <c r="AA50">
        <v>9281.33334441234</v>
      </c>
      <c r="AB50">
        <v>10377.589279255684</v>
      </c>
      <c r="AC50">
        <v>10310.548697369348</v>
      </c>
    </row>
    <row r="51" spans="1:29" x14ac:dyDescent="0.3">
      <c r="A51" t="s">
        <v>118</v>
      </c>
      <c r="B51" s="1" t="s">
        <v>101</v>
      </c>
      <c r="C51" t="s">
        <v>39</v>
      </c>
      <c r="D51" s="1" t="s">
        <v>13</v>
      </c>
      <c r="E51">
        <v>7.0441410594726497</v>
      </c>
      <c r="F51">
        <v>6.8403590248752302</v>
      </c>
      <c r="G51">
        <v>8.4501643770833095</v>
      </c>
      <c r="H51">
        <v>14.714919722814701</v>
      </c>
      <c r="I51">
        <v>6.5971850998596304</v>
      </c>
      <c r="J51">
        <v>6.86953720898964</v>
      </c>
      <c r="K51">
        <v>4.1835681289690898</v>
      </c>
      <c r="L51">
        <v>3.6412729910265198</v>
      </c>
      <c r="M51">
        <v>5.6785939028416799</v>
      </c>
      <c r="N51">
        <v>4.88803479876798</v>
      </c>
      <c r="O51">
        <v>5.0387269010807403</v>
      </c>
      <c r="P51">
        <v>6.6364496221309004</v>
      </c>
      <c r="Q51">
        <v>5.4034991403699699</v>
      </c>
      <c r="R51">
        <v>6.2043106664009997</v>
      </c>
      <c r="S51">
        <v>6.3290401551613797</v>
      </c>
      <c r="T51">
        <v>9.0299010241613598</v>
      </c>
      <c r="U51">
        <v>8.7391435232939294</v>
      </c>
      <c r="V51">
        <v>3.4463733503266898</v>
      </c>
      <c r="W51">
        <v>3.6648502837672798</v>
      </c>
      <c r="X51">
        <v>3.7329762121689298</v>
      </c>
      <c r="Y51">
        <v>3.2117680380337599</v>
      </c>
      <c r="Z51">
        <v>8.3016597558567309</v>
      </c>
      <c r="AA51">
        <v>9.2801060895687204</v>
      </c>
      <c r="AB51">
        <v>4.5935628228320304</v>
      </c>
      <c r="AC51">
        <v>4.3674640765233601</v>
      </c>
    </row>
    <row r="52" spans="1:29" x14ac:dyDescent="0.3">
      <c r="A52" t="s">
        <v>118</v>
      </c>
      <c r="B52" s="1" t="s">
        <v>101</v>
      </c>
      <c r="C52" t="s">
        <v>75</v>
      </c>
      <c r="D52" s="1" t="s">
        <v>23</v>
      </c>
      <c r="E52">
        <v>10.888999999999999</v>
      </c>
      <c r="F52">
        <v>10.648999999999999</v>
      </c>
      <c r="G52">
        <v>10.641</v>
      </c>
      <c r="H52">
        <v>11.167999999999999</v>
      </c>
      <c r="I52">
        <v>10.071999999999999</v>
      </c>
      <c r="J52">
        <v>10.551</v>
      </c>
      <c r="K52">
        <v>9.6920000000000002</v>
      </c>
      <c r="L52">
        <v>9.2799999999999994</v>
      </c>
      <c r="M52">
        <v>8.2680000000000007</v>
      </c>
      <c r="N52">
        <v>9.4190000000000005</v>
      </c>
      <c r="O52">
        <v>8.42</v>
      </c>
      <c r="P52">
        <v>7.5780000000000003</v>
      </c>
      <c r="Q52">
        <v>7.2510000000000003</v>
      </c>
      <c r="R52">
        <v>7.0709999999999997</v>
      </c>
      <c r="S52">
        <v>6.7549999999999999</v>
      </c>
      <c r="T52">
        <v>8.5380000000000003</v>
      </c>
      <c r="U52">
        <v>11.58</v>
      </c>
      <c r="V52">
        <v>12.792</v>
      </c>
      <c r="W52">
        <v>12.329000000000001</v>
      </c>
      <c r="X52">
        <v>11.936</v>
      </c>
      <c r="Y52">
        <v>13.696999999999999</v>
      </c>
      <c r="Z52">
        <v>13.157999999999999</v>
      </c>
      <c r="AA52">
        <v>9.2309999999999999</v>
      </c>
      <c r="AB52">
        <v>7.9470000000000001</v>
      </c>
      <c r="AC52">
        <v>6.8010000000000002</v>
      </c>
    </row>
    <row r="53" spans="1:29" x14ac:dyDescent="0.3">
      <c r="A53" t="s">
        <v>118</v>
      </c>
      <c r="B53" s="1" t="s">
        <v>101</v>
      </c>
      <c r="C53" t="s">
        <v>64</v>
      </c>
      <c r="D53" s="1" t="s">
        <v>50</v>
      </c>
      <c r="E53">
        <v>174018282</v>
      </c>
      <c r="F53">
        <v>176301203</v>
      </c>
      <c r="G53">
        <v>178503484</v>
      </c>
      <c r="H53">
        <v>180622688</v>
      </c>
      <c r="I53">
        <v>182675143</v>
      </c>
      <c r="J53">
        <v>184688101</v>
      </c>
      <c r="K53">
        <v>186653106</v>
      </c>
      <c r="L53">
        <v>188552320</v>
      </c>
      <c r="M53">
        <v>190367302</v>
      </c>
      <c r="N53">
        <v>192079951</v>
      </c>
      <c r="O53">
        <v>193701929</v>
      </c>
      <c r="P53">
        <v>195284734</v>
      </c>
      <c r="Q53">
        <v>196876111</v>
      </c>
      <c r="R53">
        <v>198478299</v>
      </c>
      <c r="S53">
        <v>200085127</v>
      </c>
      <c r="T53">
        <v>201675532</v>
      </c>
      <c r="U53">
        <v>203218114</v>
      </c>
      <c r="V53">
        <v>204703445</v>
      </c>
      <c r="W53">
        <v>206107261</v>
      </c>
      <c r="X53">
        <v>207455459</v>
      </c>
      <c r="Y53">
        <v>208660842</v>
      </c>
      <c r="Z53">
        <v>209550294</v>
      </c>
      <c r="AA53">
        <v>210306415</v>
      </c>
      <c r="AB53">
        <v>211140729</v>
      </c>
      <c r="AC53">
        <v>211998573</v>
      </c>
    </row>
    <row r="54" spans="1:29" x14ac:dyDescent="0.3">
      <c r="A54" t="s">
        <v>38</v>
      </c>
      <c r="B54" s="1" t="s">
        <v>84</v>
      </c>
      <c r="C54" t="s">
        <v>73</v>
      </c>
      <c r="D54" s="1" t="s">
        <v>72</v>
      </c>
      <c r="E54">
        <v>3217.8469344846712</v>
      </c>
      <c r="F54">
        <v>2847.1519194590805</v>
      </c>
      <c r="G54">
        <v>2688.2367603280636</v>
      </c>
      <c r="H54">
        <v>4062.2175599378579</v>
      </c>
      <c r="I54">
        <v>5221.4633373172119</v>
      </c>
      <c r="J54">
        <v>5836.876633251265</v>
      </c>
      <c r="K54">
        <v>6077.3829338887572</v>
      </c>
      <c r="L54">
        <v>6591.8553596056399</v>
      </c>
      <c r="M54">
        <v>6184.7547432839883</v>
      </c>
      <c r="N54">
        <v>6374.7056004299247</v>
      </c>
      <c r="O54">
        <v>7973.4719577151691</v>
      </c>
      <c r="P54">
        <v>8646.0557107163477</v>
      </c>
      <c r="Q54">
        <v>8076.9767847974063</v>
      </c>
      <c r="R54">
        <v>7331.6546738491925</v>
      </c>
      <c r="S54">
        <v>6856.7313709252221</v>
      </c>
      <c r="T54">
        <v>6112.2738248597416</v>
      </c>
      <c r="U54">
        <v>5651.2058516574916</v>
      </c>
      <c r="V54">
        <v>6618.335082557006</v>
      </c>
      <c r="W54">
        <v>6914.1780318075989</v>
      </c>
      <c r="X54">
        <v>6533.7112103285608</v>
      </c>
      <c r="Y54">
        <v>5580.6038307518866</v>
      </c>
      <c r="Z54">
        <v>6828.7562459001674</v>
      </c>
      <c r="AA54">
        <v>6534.2486778339689</v>
      </c>
      <c r="AB54">
        <v>6034.2720896467317</v>
      </c>
      <c r="AC54">
        <v>6267.1868140930046</v>
      </c>
    </row>
    <row r="55" spans="1:29" x14ac:dyDescent="0.3">
      <c r="A55" t="s">
        <v>38</v>
      </c>
      <c r="B55" s="1" t="s">
        <v>84</v>
      </c>
      <c r="C55" t="s">
        <v>39</v>
      </c>
      <c r="D55" s="1" t="s">
        <v>13</v>
      </c>
      <c r="E55">
        <v>5.3389591359982704</v>
      </c>
      <c r="F55">
        <v>5.7018948304960801</v>
      </c>
      <c r="G55">
        <v>9.4947137809959994</v>
      </c>
      <c r="H55">
        <v>5.6794241406879902</v>
      </c>
      <c r="I55">
        <v>-0.69203943785768596</v>
      </c>
      <c r="J55">
        <v>2.0628530822342701</v>
      </c>
      <c r="K55">
        <v>3.2439076541922902</v>
      </c>
      <c r="L55">
        <v>6.1778121480938699</v>
      </c>
      <c r="M55">
        <v>9.9099845600546601</v>
      </c>
      <c r="N55">
        <v>7.2380952380952603</v>
      </c>
      <c r="O55">
        <v>4.0674955595026301</v>
      </c>
      <c r="P55">
        <v>5.0008533879502002</v>
      </c>
      <c r="Q55">
        <v>5.73797139141739</v>
      </c>
      <c r="R55">
        <v>5.7801691006917499</v>
      </c>
      <c r="S55">
        <v>6.1328295305914899</v>
      </c>
      <c r="T55">
        <v>4.5186909489250597</v>
      </c>
      <c r="U55">
        <v>6.6029084239487101</v>
      </c>
      <c r="V55">
        <v>5.1861865552414903</v>
      </c>
      <c r="W55">
        <v>4.5098726486738698</v>
      </c>
      <c r="X55">
        <v>4.1028507546115502</v>
      </c>
      <c r="Y55">
        <v>3.23238831615113</v>
      </c>
      <c r="Z55">
        <v>4.6187454488713602</v>
      </c>
      <c r="AA55">
        <v>7.0398727254648099</v>
      </c>
      <c r="AB55">
        <v>6.0752438457965896</v>
      </c>
      <c r="AC55">
        <v>4.3611524651896199</v>
      </c>
    </row>
    <row r="56" spans="1:29" x14ac:dyDescent="0.3">
      <c r="A56" t="s">
        <v>38</v>
      </c>
      <c r="B56" s="1" t="s">
        <v>84</v>
      </c>
      <c r="C56" t="s">
        <v>75</v>
      </c>
      <c r="D56" s="1" t="s">
        <v>23</v>
      </c>
      <c r="E56">
        <v>22.788</v>
      </c>
      <c r="F56">
        <v>22.652000000000001</v>
      </c>
      <c r="G56">
        <v>22.579000000000001</v>
      </c>
      <c r="H56">
        <v>22.678999999999998</v>
      </c>
      <c r="I56">
        <v>22.567</v>
      </c>
      <c r="J56">
        <v>22.472000000000001</v>
      </c>
      <c r="K56">
        <v>22.303999999999998</v>
      </c>
      <c r="L56">
        <v>22.26</v>
      </c>
      <c r="M56">
        <v>22.407</v>
      </c>
      <c r="N56">
        <v>23.523</v>
      </c>
      <c r="O56">
        <v>24.683</v>
      </c>
      <c r="P56">
        <v>24.638999999999999</v>
      </c>
      <c r="Q56">
        <v>24.727</v>
      </c>
      <c r="R56">
        <v>24.561</v>
      </c>
      <c r="S56">
        <v>24.89</v>
      </c>
      <c r="T56">
        <v>25.149000000000001</v>
      </c>
      <c r="U56">
        <v>26.536000000000001</v>
      </c>
      <c r="V56">
        <v>27.035</v>
      </c>
      <c r="W56">
        <v>26.905999999999999</v>
      </c>
      <c r="X56">
        <v>28.468</v>
      </c>
      <c r="Y56">
        <v>29.216999999999999</v>
      </c>
      <c r="Z56">
        <v>34.006999999999998</v>
      </c>
      <c r="AA56">
        <v>33.268000000000001</v>
      </c>
      <c r="AB56">
        <v>32.097999999999999</v>
      </c>
      <c r="AC56">
        <v>32.279000000000003</v>
      </c>
    </row>
    <row r="57" spans="1:29" x14ac:dyDescent="0.3">
      <c r="A57" t="s">
        <v>38</v>
      </c>
      <c r="B57" s="1" t="s">
        <v>84</v>
      </c>
      <c r="C57" t="s">
        <v>64</v>
      </c>
      <c r="D57" s="1" t="s">
        <v>50</v>
      </c>
      <c r="E57">
        <v>47159719</v>
      </c>
      <c r="F57">
        <v>47566800</v>
      </c>
      <c r="G57">
        <v>48019415</v>
      </c>
      <c r="H57">
        <v>48500348</v>
      </c>
      <c r="I57">
        <v>48991421</v>
      </c>
      <c r="J57">
        <v>49490033</v>
      </c>
      <c r="K57">
        <v>49998277</v>
      </c>
      <c r="L57">
        <v>50528584</v>
      </c>
      <c r="M57">
        <v>51114599</v>
      </c>
      <c r="N57">
        <v>51728516</v>
      </c>
      <c r="O57">
        <v>52344051</v>
      </c>
      <c r="P57">
        <v>52995205</v>
      </c>
      <c r="Q57">
        <v>53782567</v>
      </c>
      <c r="R57">
        <v>54678791</v>
      </c>
      <c r="S57">
        <v>55594838</v>
      </c>
      <c r="T57">
        <v>56723537</v>
      </c>
      <c r="U57">
        <v>57259551</v>
      </c>
      <c r="V57">
        <v>57635162</v>
      </c>
      <c r="W57">
        <v>58613001</v>
      </c>
      <c r="X57">
        <v>59587885</v>
      </c>
      <c r="Y57">
        <v>60562381</v>
      </c>
      <c r="Z57">
        <v>61502603</v>
      </c>
      <c r="AA57">
        <v>62378410</v>
      </c>
      <c r="AB57">
        <v>63212384</v>
      </c>
      <c r="AC57">
        <v>64007187</v>
      </c>
    </row>
    <row r="58" spans="1:29" x14ac:dyDescent="0.3">
      <c r="A58" t="s">
        <v>91</v>
      </c>
      <c r="B58" s="1" t="s">
        <v>70</v>
      </c>
      <c r="C58" t="s">
        <v>73</v>
      </c>
      <c r="D58" s="1" t="s">
        <v>72</v>
      </c>
      <c r="E58">
        <v>763.7111249509245</v>
      </c>
      <c r="F58">
        <v>732.30709340570763</v>
      </c>
      <c r="G58">
        <v>881.00291356913124</v>
      </c>
      <c r="H58">
        <v>1043.2105838671025</v>
      </c>
      <c r="I58">
        <v>1126.8400444717279</v>
      </c>
      <c r="J58">
        <v>1238.2144762948797</v>
      </c>
      <c r="K58">
        <v>1558.3156284716338</v>
      </c>
      <c r="L58">
        <v>1823.2197625507274</v>
      </c>
      <c r="M58">
        <v>2124.5548392061796</v>
      </c>
      <c r="N58">
        <v>2218.4854185297663</v>
      </c>
      <c r="O58">
        <v>3065.6834837776487</v>
      </c>
      <c r="P58">
        <v>3579.4644246615212</v>
      </c>
      <c r="Q58">
        <v>3632.2725403033064</v>
      </c>
      <c r="R58">
        <v>3566.6028450607755</v>
      </c>
      <c r="S58">
        <v>3441.0680846400842</v>
      </c>
      <c r="T58">
        <v>3288.222697255384</v>
      </c>
      <c r="U58">
        <v>3521.469434575738</v>
      </c>
      <c r="V58">
        <v>3798.8832617452576</v>
      </c>
      <c r="W58">
        <v>3860.9535309072558</v>
      </c>
      <c r="X58">
        <v>4106.9485616035772</v>
      </c>
      <c r="Y58">
        <v>3853.7028877414587</v>
      </c>
      <c r="Z58">
        <v>4287.1731399509836</v>
      </c>
      <c r="AA58">
        <v>4730.8348483610689</v>
      </c>
      <c r="AB58">
        <v>4876.2992959842977</v>
      </c>
      <c r="AC58">
        <v>4925.4364499266594</v>
      </c>
    </row>
    <row r="59" spans="1:29" x14ac:dyDescent="0.3">
      <c r="A59" t="s">
        <v>91</v>
      </c>
      <c r="B59" s="1" t="s">
        <v>70</v>
      </c>
      <c r="C59" t="s">
        <v>39</v>
      </c>
      <c r="D59" s="1" t="s">
        <v>13</v>
      </c>
      <c r="E59">
        <v>3.6886203705668099</v>
      </c>
      <c r="F59">
        <v>11.5001160550887</v>
      </c>
      <c r="G59">
        <v>11.900120033841301</v>
      </c>
      <c r="H59">
        <v>6.7573125633356401</v>
      </c>
      <c r="I59">
        <v>6.0640618913364701</v>
      </c>
      <c r="J59">
        <v>10.4532001873347</v>
      </c>
      <c r="K59">
        <v>13.108670985345899</v>
      </c>
      <c r="L59">
        <v>6.4065608796600397</v>
      </c>
      <c r="M59">
        <v>10.2266663272482</v>
      </c>
      <c r="N59">
        <v>4.3864131179207302</v>
      </c>
      <c r="O59">
        <v>5.1342063901588499</v>
      </c>
      <c r="P59">
        <v>5.3560484911258204</v>
      </c>
      <c r="Q59">
        <v>4.2795142691942996</v>
      </c>
      <c r="R59">
        <v>6.4124945790039103</v>
      </c>
      <c r="S59">
        <v>6.3949288239655901</v>
      </c>
      <c r="T59">
        <v>6.3631206119664601</v>
      </c>
      <c r="U59">
        <v>3.5258045281545098</v>
      </c>
      <c r="V59">
        <v>3.8087985769194801</v>
      </c>
      <c r="W59">
        <v>3.1983475592499602</v>
      </c>
      <c r="X59">
        <v>3.0305846094166</v>
      </c>
      <c r="Y59">
        <v>1.91983527270792</v>
      </c>
      <c r="Z59">
        <v>1.5600788298333399</v>
      </c>
      <c r="AA59">
        <v>4.2094646371478399</v>
      </c>
      <c r="AB59">
        <v>3.6693865485976098</v>
      </c>
      <c r="AC59">
        <v>2.18151273615188</v>
      </c>
    </row>
    <row r="60" spans="1:29" x14ac:dyDescent="0.3">
      <c r="A60" t="s">
        <v>91</v>
      </c>
      <c r="B60" s="1" t="s">
        <v>70</v>
      </c>
      <c r="C60" t="s">
        <v>75</v>
      </c>
      <c r="D60" s="1" t="s">
        <v>23</v>
      </c>
      <c r="E60">
        <v>6.077</v>
      </c>
      <c r="F60">
        <v>6.0819999999999999</v>
      </c>
      <c r="G60">
        <v>6.6040000000000001</v>
      </c>
      <c r="H60">
        <v>6.657</v>
      </c>
      <c r="I60">
        <v>7.3029999999999999</v>
      </c>
      <c r="J60">
        <v>7.9450000000000003</v>
      </c>
      <c r="K60">
        <v>7.5510000000000002</v>
      </c>
      <c r="L60">
        <v>8.06</v>
      </c>
      <c r="M60">
        <v>7.2080000000000002</v>
      </c>
      <c r="N60">
        <v>6.1059999999999999</v>
      </c>
      <c r="O60">
        <v>5.6139999999999999</v>
      </c>
      <c r="P60">
        <v>5.1529999999999996</v>
      </c>
      <c r="Q60">
        <v>4.468</v>
      </c>
      <c r="R60">
        <v>4.3360000000000003</v>
      </c>
      <c r="S60">
        <v>4.0490000000000004</v>
      </c>
      <c r="T60">
        <v>4.5140000000000002</v>
      </c>
      <c r="U60">
        <v>4.3010000000000002</v>
      </c>
      <c r="V60">
        <v>3.7829999999999999</v>
      </c>
      <c r="W60">
        <v>4.3869999999999996</v>
      </c>
      <c r="X60">
        <v>3.59</v>
      </c>
      <c r="Y60">
        <v>4.2549999999999999</v>
      </c>
      <c r="Z60">
        <v>3.827</v>
      </c>
      <c r="AA60">
        <v>3.4620000000000002</v>
      </c>
      <c r="AB60">
        <v>3.3079999999999998</v>
      </c>
      <c r="AC60">
        <v>3.3010000000000002</v>
      </c>
    </row>
    <row r="61" spans="1:29" x14ac:dyDescent="0.3">
      <c r="A61" t="s">
        <v>91</v>
      </c>
      <c r="B61" s="1" t="s">
        <v>70</v>
      </c>
      <c r="C61" t="s">
        <v>64</v>
      </c>
      <c r="D61" s="1" t="s">
        <v>50</v>
      </c>
      <c r="E61">
        <v>216077790</v>
      </c>
      <c r="F61">
        <v>219097902</v>
      </c>
      <c r="G61">
        <v>222088495</v>
      </c>
      <c r="H61">
        <v>225048008</v>
      </c>
      <c r="I61">
        <v>227926649</v>
      </c>
      <c r="J61">
        <v>230871650</v>
      </c>
      <c r="K61">
        <v>233951652</v>
      </c>
      <c r="L61">
        <v>237062337</v>
      </c>
      <c r="M61">
        <v>240157903</v>
      </c>
      <c r="N61">
        <v>243220028</v>
      </c>
      <c r="O61">
        <v>246305322</v>
      </c>
      <c r="P61">
        <v>249470032</v>
      </c>
      <c r="Q61">
        <v>252698525</v>
      </c>
      <c r="R61">
        <v>255852467</v>
      </c>
      <c r="S61">
        <v>258877399</v>
      </c>
      <c r="T61">
        <v>261799249</v>
      </c>
      <c r="U61">
        <v>264627418</v>
      </c>
      <c r="V61">
        <v>267346658</v>
      </c>
      <c r="W61">
        <v>269951846</v>
      </c>
      <c r="X61">
        <v>272489381</v>
      </c>
      <c r="Y61">
        <v>274814866</v>
      </c>
      <c r="Z61">
        <v>276758053</v>
      </c>
      <c r="AA61">
        <v>278830529</v>
      </c>
      <c r="AB61">
        <v>281190067</v>
      </c>
      <c r="AC61">
        <v>283487931</v>
      </c>
    </row>
    <row r="62" spans="1:29" x14ac:dyDescent="0.3">
      <c r="B62" s="1"/>
      <c r="D62" s="1"/>
    </row>
    <row r="63" spans="1:29" x14ac:dyDescent="0.3">
      <c r="B63" s="1"/>
      <c r="D63" s="1"/>
    </row>
    <row r="64" spans="1:29" x14ac:dyDescent="0.3">
      <c r="B64" s="1"/>
      <c r="D64" s="1"/>
    </row>
    <row r="65" spans="1:4" x14ac:dyDescent="0.3">
      <c r="A65" t="s">
        <v>20</v>
      </c>
      <c r="B65" s="1"/>
      <c r="D65" s="1"/>
    </row>
    <row r="66" spans="1:4" x14ac:dyDescent="0.3">
      <c r="A66" t="s">
        <v>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
  <sheetViews>
    <sheetView workbookViewId="0"/>
  </sheetViews>
  <sheetFormatPr defaultRowHeight="14.4" x14ac:dyDescent="0.3"/>
  <cols>
    <col min="1" max="1" width="15.77734375" customWidth="1"/>
    <col min="2" max="17" width="50.77734375" customWidth="1"/>
  </cols>
  <sheetData>
    <row r="1" spans="1:17" x14ac:dyDescent="0.3">
      <c r="A1" t="s">
        <v>21</v>
      </c>
      <c r="B1" t="s">
        <v>57</v>
      </c>
      <c r="C1" t="s">
        <v>115</v>
      </c>
      <c r="D1" t="s">
        <v>90</v>
      </c>
      <c r="E1" t="s">
        <v>76</v>
      </c>
      <c r="F1" t="s">
        <v>108</v>
      </c>
      <c r="G1" t="s">
        <v>66</v>
      </c>
      <c r="H1" t="s">
        <v>32</v>
      </c>
      <c r="I1" t="s">
        <v>111</v>
      </c>
      <c r="J1" t="s">
        <v>78</v>
      </c>
      <c r="K1" t="s">
        <v>42</v>
      </c>
      <c r="L1" t="s">
        <v>6</v>
      </c>
      <c r="M1" t="s">
        <v>99</v>
      </c>
      <c r="N1" t="s">
        <v>0</v>
      </c>
      <c r="O1" t="s">
        <v>52</v>
      </c>
      <c r="P1" t="s">
        <v>112</v>
      </c>
      <c r="Q1" t="s">
        <v>105</v>
      </c>
    </row>
    <row r="2" spans="1:17" x14ac:dyDescent="0.3">
      <c r="A2" t="s">
        <v>72</v>
      </c>
      <c r="B2" t="s">
        <v>65</v>
      </c>
      <c r="C2" t="s">
        <v>73</v>
      </c>
      <c r="D2" t="s">
        <v>117</v>
      </c>
      <c r="E2" t="s">
        <v>117</v>
      </c>
      <c r="F2" t="s">
        <v>10</v>
      </c>
      <c r="G2" t="s">
        <v>48</v>
      </c>
      <c r="H2" t="s">
        <v>56</v>
      </c>
      <c r="I2" t="s">
        <v>28</v>
      </c>
      <c r="J2" t="s">
        <v>33</v>
      </c>
      <c r="K2" t="s">
        <v>95</v>
      </c>
      <c r="L2" t="s">
        <v>27</v>
      </c>
      <c r="M2" t="s">
        <v>44</v>
      </c>
      <c r="N2" t="s">
        <v>100</v>
      </c>
      <c r="Q2" t="s">
        <v>8</v>
      </c>
    </row>
    <row r="3" spans="1:17" x14ac:dyDescent="0.3">
      <c r="A3" t="s">
        <v>13</v>
      </c>
      <c r="B3" t="s">
        <v>65</v>
      </c>
      <c r="C3" t="s">
        <v>18</v>
      </c>
      <c r="D3" t="s">
        <v>102</v>
      </c>
      <c r="E3" t="s">
        <v>102</v>
      </c>
      <c r="F3" t="s">
        <v>110</v>
      </c>
      <c r="G3" t="s">
        <v>26</v>
      </c>
      <c r="H3" t="s">
        <v>56</v>
      </c>
      <c r="I3" t="s">
        <v>97</v>
      </c>
      <c r="J3" t="s">
        <v>33</v>
      </c>
      <c r="K3" t="s">
        <v>95</v>
      </c>
      <c r="L3" t="s">
        <v>9</v>
      </c>
      <c r="M3" t="s">
        <v>34</v>
      </c>
      <c r="N3" t="s">
        <v>79</v>
      </c>
      <c r="Q3" t="s">
        <v>8</v>
      </c>
    </row>
    <row r="4" spans="1:17" x14ac:dyDescent="0.3">
      <c r="A4" t="s">
        <v>23</v>
      </c>
      <c r="B4" t="s">
        <v>65</v>
      </c>
      <c r="C4" t="s">
        <v>75</v>
      </c>
      <c r="D4" t="s">
        <v>85</v>
      </c>
      <c r="E4" t="s">
        <v>85</v>
      </c>
      <c r="F4" t="s">
        <v>43</v>
      </c>
      <c r="G4" t="s">
        <v>12</v>
      </c>
      <c r="H4" t="s">
        <v>56</v>
      </c>
      <c r="I4" t="s">
        <v>11</v>
      </c>
      <c r="J4" t="s">
        <v>33</v>
      </c>
      <c r="K4" t="s">
        <v>58</v>
      </c>
      <c r="L4" t="s">
        <v>27</v>
      </c>
      <c r="M4" t="s">
        <v>69</v>
      </c>
      <c r="N4" t="s">
        <v>94</v>
      </c>
      <c r="O4" t="s">
        <v>59</v>
      </c>
      <c r="P4" t="s">
        <v>46</v>
      </c>
      <c r="Q4" t="s">
        <v>8</v>
      </c>
    </row>
    <row r="5" spans="1:17" x14ac:dyDescent="0.3">
      <c r="A5" t="s">
        <v>50</v>
      </c>
      <c r="B5" t="s">
        <v>65</v>
      </c>
      <c r="C5" t="s">
        <v>64</v>
      </c>
      <c r="D5" t="s">
        <v>1</v>
      </c>
      <c r="E5" t="s">
        <v>1</v>
      </c>
      <c r="F5" t="s">
        <v>35</v>
      </c>
      <c r="G5" t="s">
        <v>36</v>
      </c>
      <c r="H5" t="s">
        <v>56</v>
      </c>
      <c r="I5" t="s">
        <v>74</v>
      </c>
      <c r="J5" t="s">
        <v>33</v>
      </c>
      <c r="K5" t="s">
        <v>95</v>
      </c>
      <c r="L5" t="s">
        <v>67</v>
      </c>
      <c r="M5" t="s">
        <v>61</v>
      </c>
      <c r="N5" t="s">
        <v>45</v>
      </c>
      <c r="O5" t="s">
        <v>60</v>
      </c>
      <c r="P5" t="s">
        <v>29</v>
      </c>
      <c r="Q5"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69AE9-F930-4EEF-82B0-241C98AC0EDB}">
  <dimension ref="A1:G376"/>
  <sheetViews>
    <sheetView zoomScale="85" zoomScaleNormal="85" workbookViewId="0">
      <selection activeCell="M9" sqref="M9"/>
    </sheetView>
  </sheetViews>
  <sheetFormatPr defaultRowHeight="14.4" x14ac:dyDescent="0.3"/>
  <cols>
    <col min="1" max="1" width="16.44140625" bestFit="1" customWidth="1"/>
    <col min="2" max="2" width="14.77734375" customWidth="1"/>
    <col min="3" max="3" width="6.88671875" bestFit="1" customWidth="1"/>
    <col min="4" max="4" width="27.6640625" bestFit="1" customWidth="1"/>
    <col min="5" max="5" width="35" bestFit="1" customWidth="1"/>
    <col min="6" max="6" width="62.109375" bestFit="1" customWidth="1"/>
    <col min="7" max="7" width="17.44140625" bestFit="1" customWidth="1"/>
  </cols>
  <sheetData>
    <row r="1" spans="1:7" x14ac:dyDescent="0.3">
      <c r="A1" t="s">
        <v>40</v>
      </c>
      <c r="B1" t="s">
        <v>16</v>
      </c>
      <c r="C1" t="s">
        <v>124</v>
      </c>
      <c r="D1" t="s">
        <v>73</v>
      </c>
      <c r="E1" t="s">
        <v>39</v>
      </c>
      <c r="F1" t="s">
        <v>75</v>
      </c>
      <c r="G1" t="s">
        <v>64</v>
      </c>
    </row>
    <row r="2" spans="1:7" x14ac:dyDescent="0.3">
      <c r="A2" t="s">
        <v>118</v>
      </c>
      <c r="B2" t="s">
        <v>101</v>
      </c>
      <c r="C2">
        <v>2000</v>
      </c>
      <c r="D2">
        <v>3766.5481146603156</v>
      </c>
      <c r="E2">
        <v>7.0441410594726497</v>
      </c>
      <c r="F2">
        <v>10.888999999999999</v>
      </c>
      <c r="G2">
        <v>174018282</v>
      </c>
    </row>
    <row r="3" spans="1:7" x14ac:dyDescent="0.3">
      <c r="A3" t="s">
        <v>118</v>
      </c>
      <c r="B3" t="s">
        <v>101</v>
      </c>
      <c r="C3">
        <v>2001</v>
      </c>
      <c r="D3">
        <v>3176.2893574752361</v>
      </c>
      <c r="E3">
        <v>6.8403590248752302</v>
      </c>
      <c r="F3">
        <v>10.648999999999999</v>
      </c>
      <c r="G3">
        <v>176301203</v>
      </c>
    </row>
    <row r="4" spans="1:7" x14ac:dyDescent="0.3">
      <c r="A4" t="s">
        <v>118</v>
      </c>
      <c r="B4" t="s">
        <v>101</v>
      </c>
      <c r="C4">
        <v>2002</v>
      </c>
      <c r="D4">
        <v>2855.9401888576867</v>
      </c>
      <c r="E4">
        <v>8.4501643770833095</v>
      </c>
      <c r="F4">
        <v>10.641</v>
      </c>
      <c r="G4">
        <v>178503484</v>
      </c>
    </row>
    <row r="5" spans="1:7" x14ac:dyDescent="0.3">
      <c r="A5" t="s">
        <v>118</v>
      </c>
      <c r="B5" t="s">
        <v>101</v>
      </c>
      <c r="C5">
        <v>2003</v>
      </c>
      <c r="D5">
        <v>3090.6070097454958</v>
      </c>
      <c r="E5">
        <v>14.714919722814701</v>
      </c>
      <c r="F5">
        <v>11.167999999999999</v>
      </c>
      <c r="G5">
        <v>180622688</v>
      </c>
    </row>
    <row r="6" spans="1:7" x14ac:dyDescent="0.3">
      <c r="A6" t="s">
        <v>118</v>
      </c>
      <c r="B6" t="s">
        <v>101</v>
      </c>
      <c r="C6">
        <v>2004</v>
      </c>
      <c r="D6">
        <v>3663.8231880639996</v>
      </c>
      <c r="E6">
        <v>6.5971850998596304</v>
      </c>
      <c r="F6">
        <v>10.071999999999999</v>
      </c>
      <c r="G6">
        <v>182675143</v>
      </c>
    </row>
    <row r="7" spans="1:7" x14ac:dyDescent="0.3">
      <c r="A7" t="s">
        <v>118</v>
      </c>
      <c r="B7" t="s">
        <v>101</v>
      </c>
      <c r="C7">
        <v>2005</v>
      </c>
      <c r="D7">
        <v>4827.7817307471414</v>
      </c>
      <c r="E7">
        <v>6.86953720898964</v>
      </c>
      <c r="F7">
        <v>10.551</v>
      </c>
      <c r="G7">
        <v>184688101</v>
      </c>
    </row>
    <row r="8" spans="1:7" x14ac:dyDescent="0.3">
      <c r="A8" t="s">
        <v>118</v>
      </c>
      <c r="B8" t="s">
        <v>101</v>
      </c>
      <c r="C8">
        <v>2006</v>
      </c>
      <c r="D8">
        <v>5934.144709249681</v>
      </c>
      <c r="E8">
        <v>4.1835681289690898</v>
      </c>
      <c r="F8">
        <v>9.6920000000000002</v>
      </c>
      <c r="G8">
        <v>186653106</v>
      </c>
    </row>
    <row r="9" spans="1:7" x14ac:dyDescent="0.3">
      <c r="A9" t="s">
        <v>118</v>
      </c>
      <c r="B9" t="s">
        <v>101</v>
      </c>
      <c r="C9">
        <v>2007</v>
      </c>
      <c r="D9">
        <v>7409.6913067347305</v>
      </c>
      <c r="E9">
        <v>3.6412729910265198</v>
      </c>
      <c r="F9">
        <v>9.2799999999999994</v>
      </c>
      <c r="G9">
        <v>188552320</v>
      </c>
    </row>
    <row r="10" spans="1:7" x14ac:dyDescent="0.3">
      <c r="A10" t="s">
        <v>118</v>
      </c>
      <c r="B10" t="s">
        <v>101</v>
      </c>
      <c r="C10">
        <v>2008</v>
      </c>
      <c r="D10">
        <v>8908.3317653864833</v>
      </c>
      <c r="E10">
        <v>5.6785939028416799</v>
      </c>
      <c r="F10">
        <v>8.2680000000000007</v>
      </c>
      <c r="G10">
        <v>190367302</v>
      </c>
    </row>
    <row r="11" spans="1:7" x14ac:dyDescent="0.3">
      <c r="A11" t="s">
        <v>118</v>
      </c>
      <c r="B11" t="s">
        <v>101</v>
      </c>
      <c r="C11">
        <v>2009</v>
      </c>
      <c r="D11">
        <v>8678.6592244675994</v>
      </c>
      <c r="E11">
        <v>4.88803479876798</v>
      </c>
      <c r="F11">
        <v>9.4190000000000005</v>
      </c>
      <c r="G11">
        <v>192079951</v>
      </c>
    </row>
    <row r="12" spans="1:7" x14ac:dyDescent="0.3">
      <c r="A12" t="s">
        <v>118</v>
      </c>
      <c r="B12" t="s">
        <v>101</v>
      </c>
      <c r="C12">
        <v>2010</v>
      </c>
      <c r="D12">
        <v>11403.282127874663</v>
      </c>
      <c r="E12">
        <v>5.0387269010807403</v>
      </c>
      <c r="F12">
        <v>8.42</v>
      </c>
      <c r="G12">
        <v>193701929</v>
      </c>
    </row>
    <row r="13" spans="1:7" x14ac:dyDescent="0.3">
      <c r="A13" t="s">
        <v>118</v>
      </c>
      <c r="B13" t="s">
        <v>101</v>
      </c>
      <c r="C13">
        <v>2011</v>
      </c>
      <c r="D13">
        <v>13396.624356298567</v>
      </c>
      <c r="E13">
        <v>6.6364496221309004</v>
      </c>
      <c r="F13">
        <v>7.5780000000000003</v>
      </c>
      <c r="G13">
        <v>195284734</v>
      </c>
    </row>
    <row r="14" spans="1:7" x14ac:dyDescent="0.3">
      <c r="A14" t="s">
        <v>118</v>
      </c>
      <c r="B14" t="s">
        <v>101</v>
      </c>
      <c r="C14">
        <v>2012</v>
      </c>
      <c r="D14">
        <v>12521.721351996648</v>
      </c>
      <c r="E14">
        <v>5.4034991403699699</v>
      </c>
      <c r="F14">
        <v>7.2510000000000003</v>
      </c>
      <c r="G14">
        <v>196876111</v>
      </c>
    </row>
    <row r="15" spans="1:7" x14ac:dyDescent="0.3">
      <c r="A15" t="s">
        <v>118</v>
      </c>
      <c r="B15" t="s">
        <v>101</v>
      </c>
      <c r="C15">
        <v>2013</v>
      </c>
      <c r="D15">
        <v>12458.891213881299</v>
      </c>
      <c r="E15">
        <v>6.2043106664009997</v>
      </c>
      <c r="F15">
        <v>7.0709999999999997</v>
      </c>
      <c r="G15">
        <v>198478299</v>
      </c>
    </row>
    <row r="16" spans="1:7" x14ac:dyDescent="0.3">
      <c r="A16" t="s">
        <v>118</v>
      </c>
      <c r="B16" t="s">
        <v>101</v>
      </c>
      <c r="C16">
        <v>2014</v>
      </c>
      <c r="D16">
        <v>12274.993968936304</v>
      </c>
      <c r="E16">
        <v>6.3290401551613797</v>
      </c>
      <c r="F16">
        <v>6.7549999999999999</v>
      </c>
      <c r="G16">
        <v>200085127</v>
      </c>
    </row>
    <row r="17" spans="1:7" x14ac:dyDescent="0.3">
      <c r="A17" t="s">
        <v>118</v>
      </c>
      <c r="B17" t="s">
        <v>101</v>
      </c>
      <c r="C17">
        <v>2015</v>
      </c>
      <c r="D17">
        <v>8936.1966171211279</v>
      </c>
      <c r="E17">
        <v>9.0299010241613598</v>
      </c>
      <c r="F17">
        <v>8.5380000000000003</v>
      </c>
      <c r="G17">
        <v>201675532</v>
      </c>
    </row>
    <row r="18" spans="1:7" x14ac:dyDescent="0.3">
      <c r="A18" t="s">
        <v>118</v>
      </c>
      <c r="B18" t="s">
        <v>101</v>
      </c>
      <c r="C18">
        <v>2016</v>
      </c>
      <c r="D18">
        <v>8836.2865273565749</v>
      </c>
      <c r="E18">
        <v>8.7391435232939294</v>
      </c>
      <c r="F18">
        <v>11.58</v>
      </c>
      <c r="G18">
        <v>203218114</v>
      </c>
    </row>
    <row r="19" spans="1:7" x14ac:dyDescent="0.3">
      <c r="A19" t="s">
        <v>118</v>
      </c>
      <c r="B19" t="s">
        <v>101</v>
      </c>
      <c r="C19">
        <v>2017</v>
      </c>
      <c r="D19">
        <v>10080.509281930525</v>
      </c>
      <c r="E19">
        <v>3.4463733503266898</v>
      </c>
      <c r="F19">
        <v>12.792</v>
      </c>
      <c r="G19">
        <v>204703445</v>
      </c>
    </row>
    <row r="20" spans="1:7" x14ac:dyDescent="0.3">
      <c r="A20" t="s">
        <v>118</v>
      </c>
      <c r="B20" t="s">
        <v>101</v>
      </c>
      <c r="C20">
        <v>2018</v>
      </c>
      <c r="D20">
        <v>9300.6616492321864</v>
      </c>
      <c r="E20">
        <v>3.6648502837672798</v>
      </c>
      <c r="F20">
        <v>12.329000000000001</v>
      </c>
      <c r="G20">
        <v>206107261</v>
      </c>
    </row>
    <row r="21" spans="1:7" x14ac:dyDescent="0.3">
      <c r="A21" t="s">
        <v>118</v>
      </c>
      <c r="B21" t="s">
        <v>101</v>
      </c>
      <c r="C21">
        <v>2019</v>
      </c>
      <c r="D21">
        <v>9029.8332668107323</v>
      </c>
      <c r="E21">
        <v>3.7329762121689298</v>
      </c>
      <c r="F21">
        <v>11.936</v>
      </c>
      <c r="G21">
        <v>207455459</v>
      </c>
    </row>
    <row r="22" spans="1:7" x14ac:dyDescent="0.3">
      <c r="A22" t="s">
        <v>118</v>
      </c>
      <c r="B22" t="s">
        <v>101</v>
      </c>
      <c r="C22">
        <v>2020</v>
      </c>
      <c r="D22">
        <v>7074.1937833764405</v>
      </c>
      <c r="E22">
        <v>3.2117680380337599</v>
      </c>
      <c r="F22">
        <v>13.696999999999999</v>
      </c>
      <c r="G22">
        <v>208660842</v>
      </c>
    </row>
    <row r="23" spans="1:7" x14ac:dyDescent="0.3">
      <c r="A23" t="s">
        <v>118</v>
      </c>
      <c r="B23" t="s">
        <v>101</v>
      </c>
      <c r="C23">
        <v>2021</v>
      </c>
      <c r="D23">
        <v>7972.5366498645981</v>
      </c>
      <c r="E23">
        <v>8.3016597558567309</v>
      </c>
      <c r="F23">
        <v>13.157999999999999</v>
      </c>
      <c r="G23">
        <v>209550294</v>
      </c>
    </row>
    <row r="24" spans="1:7" x14ac:dyDescent="0.3">
      <c r="A24" t="s">
        <v>118</v>
      </c>
      <c r="B24" t="s">
        <v>101</v>
      </c>
      <c r="C24">
        <v>2022</v>
      </c>
      <c r="D24">
        <v>9281.33334441234</v>
      </c>
      <c r="E24">
        <v>9.2801060895687204</v>
      </c>
      <c r="F24">
        <v>9.2309999999999999</v>
      </c>
      <c r="G24">
        <v>210306415</v>
      </c>
    </row>
    <row r="25" spans="1:7" x14ac:dyDescent="0.3">
      <c r="A25" t="s">
        <v>118</v>
      </c>
      <c r="B25" t="s">
        <v>101</v>
      </c>
      <c r="C25">
        <v>2023</v>
      </c>
      <c r="D25">
        <v>10377.589279255684</v>
      </c>
      <c r="E25">
        <v>4.5935628228320304</v>
      </c>
      <c r="F25">
        <v>7.9470000000000001</v>
      </c>
      <c r="G25">
        <v>211140729</v>
      </c>
    </row>
    <row r="26" spans="1:7" x14ac:dyDescent="0.3">
      <c r="A26" t="s">
        <v>118</v>
      </c>
      <c r="B26" t="s">
        <v>101</v>
      </c>
      <c r="C26">
        <v>2024</v>
      </c>
      <c r="D26">
        <v>10310.548697369348</v>
      </c>
      <c r="E26">
        <v>4.3674640765233601</v>
      </c>
      <c r="F26">
        <v>6.8010000000000002</v>
      </c>
      <c r="G26">
        <v>211998573</v>
      </c>
    </row>
    <row r="27" spans="1:7" x14ac:dyDescent="0.3">
      <c r="A27" t="s">
        <v>86</v>
      </c>
      <c r="B27" t="s">
        <v>92</v>
      </c>
      <c r="C27">
        <v>2000</v>
      </c>
      <c r="D27">
        <v>969.19951369628666</v>
      </c>
      <c r="E27">
        <v>0.34781122686458599</v>
      </c>
      <c r="F27">
        <v>3.26</v>
      </c>
      <c r="G27">
        <v>1262645000</v>
      </c>
    </row>
    <row r="28" spans="1:7" x14ac:dyDescent="0.3">
      <c r="A28" t="s">
        <v>86</v>
      </c>
      <c r="B28" t="s">
        <v>92</v>
      </c>
      <c r="C28">
        <v>2001</v>
      </c>
      <c r="D28">
        <v>1065.4059757451932</v>
      </c>
      <c r="E28">
        <v>0.71912560912011303</v>
      </c>
      <c r="F28">
        <v>3.8</v>
      </c>
      <c r="G28">
        <v>1271850000</v>
      </c>
    </row>
    <row r="29" spans="1:7" x14ac:dyDescent="0.3">
      <c r="A29" t="s">
        <v>86</v>
      </c>
      <c r="B29" t="s">
        <v>92</v>
      </c>
      <c r="C29">
        <v>2002</v>
      </c>
      <c r="D29">
        <v>1163.5595767342556</v>
      </c>
      <c r="E29">
        <v>-0.73197090235024298</v>
      </c>
      <c r="F29">
        <v>4.24</v>
      </c>
      <c r="G29">
        <v>1280400000</v>
      </c>
    </row>
    <row r="30" spans="1:7" x14ac:dyDescent="0.3">
      <c r="A30" t="s">
        <v>86</v>
      </c>
      <c r="B30" t="s">
        <v>92</v>
      </c>
      <c r="C30">
        <v>2003</v>
      </c>
      <c r="D30">
        <v>1306.9724540855702</v>
      </c>
      <c r="E30">
        <v>1.1276034872963701</v>
      </c>
      <c r="F30">
        <v>4.58</v>
      </c>
      <c r="G30">
        <v>1288400000</v>
      </c>
    </row>
    <row r="31" spans="1:7" x14ac:dyDescent="0.3">
      <c r="A31" t="s">
        <v>86</v>
      </c>
      <c r="B31" t="s">
        <v>92</v>
      </c>
      <c r="C31">
        <v>2004</v>
      </c>
      <c r="D31">
        <v>1530.9272621572329</v>
      </c>
      <c r="E31">
        <v>3.82463743108159</v>
      </c>
      <c r="F31">
        <v>4.49</v>
      </c>
      <c r="G31">
        <v>1296075000</v>
      </c>
    </row>
    <row r="32" spans="1:7" x14ac:dyDescent="0.3">
      <c r="A32" t="s">
        <v>86</v>
      </c>
      <c r="B32" t="s">
        <v>92</v>
      </c>
      <c r="C32">
        <v>2005</v>
      </c>
      <c r="D32">
        <v>1777.644968284641</v>
      </c>
      <c r="E32">
        <v>1.7764140766756999</v>
      </c>
      <c r="F32">
        <v>4.5199999999999996</v>
      </c>
      <c r="G32">
        <v>1303720000</v>
      </c>
    </row>
    <row r="33" spans="1:7" x14ac:dyDescent="0.3">
      <c r="A33" t="s">
        <v>86</v>
      </c>
      <c r="B33" t="s">
        <v>92</v>
      </c>
      <c r="C33">
        <v>2006</v>
      </c>
      <c r="D33">
        <v>2129.2569699961318</v>
      </c>
      <c r="E33">
        <v>1.6494309945585901</v>
      </c>
      <c r="F33">
        <v>4.43</v>
      </c>
      <c r="G33">
        <v>1311020000</v>
      </c>
    </row>
    <row r="34" spans="1:7" x14ac:dyDescent="0.3">
      <c r="A34" t="s">
        <v>86</v>
      </c>
      <c r="B34" t="s">
        <v>92</v>
      </c>
      <c r="C34">
        <v>2007</v>
      </c>
      <c r="D34">
        <v>2734.7270987769271</v>
      </c>
      <c r="E34">
        <v>4.8167676737883403</v>
      </c>
      <c r="F34">
        <v>4.3499999999999996</v>
      </c>
      <c r="G34">
        <v>1317885000</v>
      </c>
    </row>
    <row r="35" spans="1:7" x14ac:dyDescent="0.3">
      <c r="A35" t="s">
        <v>86</v>
      </c>
      <c r="B35" t="s">
        <v>92</v>
      </c>
      <c r="C35">
        <v>2008</v>
      </c>
      <c r="D35">
        <v>3523.4430206521301</v>
      </c>
      <c r="E35">
        <v>5.9252513704109102</v>
      </c>
      <c r="F35">
        <v>4.59</v>
      </c>
      <c r="G35">
        <v>1324655000</v>
      </c>
    </row>
    <row r="36" spans="1:7" x14ac:dyDescent="0.3">
      <c r="A36" t="s">
        <v>86</v>
      </c>
      <c r="B36" t="s">
        <v>92</v>
      </c>
      <c r="C36">
        <v>2009</v>
      </c>
      <c r="D36">
        <v>3898.2445915881062</v>
      </c>
      <c r="E36">
        <v>-0.72816525093289797</v>
      </c>
      <c r="F36">
        <v>4.72</v>
      </c>
      <c r="G36">
        <v>1331260000</v>
      </c>
    </row>
    <row r="37" spans="1:7" x14ac:dyDescent="0.3">
      <c r="A37" t="s">
        <v>86</v>
      </c>
      <c r="B37" t="s">
        <v>92</v>
      </c>
      <c r="C37">
        <v>2010</v>
      </c>
      <c r="D37">
        <v>4629.2455171007732</v>
      </c>
      <c r="E37">
        <v>3.1753247526919899</v>
      </c>
      <c r="F37">
        <v>4.53</v>
      </c>
      <c r="G37">
        <v>1337705000</v>
      </c>
    </row>
    <row r="38" spans="1:7" x14ac:dyDescent="0.3">
      <c r="A38" t="s">
        <v>86</v>
      </c>
      <c r="B38" t="s">
        <v>92</v>
      </c>
      <c r="C38">
        <v>2011</v>
      </c>
      <c r="D38">
        <v>5703.7602797334557</v>
      </c>
      <c r="E38">
        <v>5.5538989225749296</v>
      </c>
      <c r="F38">
        <v>4.55</v>
      </c>
      <c r="G38">
        <v>1345035000</v>
      </c>
    </row>
    <row r="39" spans="1:7" x14ac:dyDescent="0.3">
      <c r="A39" t="s">
        <v>86</v>
      </c>
      <c r="B39" t="s">
        <v>92</v>
      </c>
      <c r="C39">
        <v>2012</v>
      </c>
      <c r="D39">
        <v>6405.0574241349032</v>
      </c>
      <c r="E39">
        <v>2.6195243264553998</v>
      </c>
      <c r="F39">
        <v>4.58</v>
      </c>
      <c r="G39">
        <v>1354190000</v>
      </c>
    </row>
    <row r="40" spans="1:7" x14ac:dyDescent="0.3">
      <c r="A40" t="s">
        <v>86</v>
      </c>
      <c r="B40" t="s">
        <v>92</v>
      </c>
      <c r="C40">
        <v>2013</v>
      </c>
      <c r="D40">
        <v>7147.0351862234411</v>
      </c>
      <c r="E40">
        <v>2.62105001748114</v>
      </c>
      <c r="F40">
        <v>4.5999999999999996</v>
      </c>
      <c r="G40">
        <v>1363240000</v>
      </c>
    </row>
    <row r="41" spans="1:7" x14ac:dyDescent="0.3">
      <c r="A41" t="s">
        <v>86</v>
      </c>
      <c r="B41" t="s">
        <v>92</v>
      </c>
      <c r="C41">
        <v>2014</v>
      </c>
      <c r="D41">
        <v>7781.0659748497383</v>
      </c>
      <c r="E41">
        <v>1.9216416278852</v>
      </c>
      <c r="F41">
        <v>4.63</v>
      </c>
      <c r="G41">
        <v>1371860000</v>
      </c>
    </row>
    <row r="42" spans="1:7" x14ac:dyDescent="0.3">
      <c r="A42" t="s">
        <v>86</v>
      </c>
      <c r="B42" t="s">
        <v>92</v>
      </c>
      <c r="C42">
        <v>2015</v>
      </c>
      <c r="D42">
        <v>8175.3328507739288</v>
      </c>
      <c r="E42">
        <v>1.4370238093565399</v>
      </c>
      <c r="F42">
        <v>4.6500000000000004</v>
      </c>
      <c r="G42">
        <v>1379860000</v>
      </c>
    </row>
    <row r="43" spans="1:7" x14ac:dyDescent="0.3">
      <c r="A43" t="s">
        <v>86</v>
      </c>
      <c r="B43" t="s">
        <v>92</v>
      </c>
      <c r="C43">
        <v>2016</v>
      </c>
      <c r="D43">
        <v>8254.8685932035678</v>
      </c>
      <c r="E43">
        <v>2.00000182191943</v>
      </c>
      <c r="F43">
        <v>4.5599999999999996</v>
      </c>
      <c r="G43">
        <v>1387790000</v>
      </c>
    </row>
    <row r="44" spans="1:7" x14ac:dyDescent="0.3">
      <c r="A44" t="s">
        <v>86</v>
      </c>
      <c r="B44" t="s">
        <v>92</v>
      </c>
      <c r="C44">
        <v>2017</v>
      </c>
      <c r="D44">
        <v>8979.6765270985634</v>
      </c>
      <c r="E44">
        <v>1.59313600071435</v>
      </c>
      <c r="F44">
        <v>4.47</v>
      </c>
      <c r="G44">
        <v>1396215000</v>
      </c>
    </row>
    <row r="45" spans="1:7" x14ac:dyDescent="0.3">
      <c r="A45" t="s">
        <v>86</v>
      </c>
      <c r="B45" t="s">
        <v>92</v>
      </c>
      <c r="C45">
        <v>2018</v>
      </c>
      <c r="D45">
        <v>10085.663814881918</v>
      </c>
      <c r="E45">
        <v>2.0747903996557602</v>
      </c>
      <c r="F45">
        <v>4.3099999999999996</v>
      </c>
      <c r="G45">
        <v>1402760000</v>
      </c>
    </row>
    <row r="46" spans="1:7" x14ac:dyDescent="0.3">
      <c r="A46" t="s">
        <v>86</v>
      </c>
      <c r="B46" t="s">
        <v>92</v>
      </c>
      <c r="C46">
        <v>2019</v>
      </c>
      <c r="D46">
        <v>10342.90095243346</v>
      </c>
      <c r="E46">
        <v>2.89923416358226</v>
      </c>
      <c r="F46">
        <v>4.5599999999999996</v>
      </c>
      <c r="G46">
        <v>1407745000</v>
      </c>
    </row>
    <row r="47" spans="1:7" x14ac:dyDescent="0.3">
      <c r="A47" t="s">
        <v>86</v>
      </c>
      <c r="B47" t="s">
        <v>92</v>
      </c>
      <c r="C47">
        <v>2020</v>
      </c>
      <c r="D47">
        <v>10627.463798961868</v>
      </c>
      <c r="E47">
        <v>2.4194218945778201</v>
      </c>
      <c r="F47">
        <v>5</v>
      </c>
      <c r="G47">
        <v>1411100000</v>
      </c>
    </row>
    <row r="48" spans="1:7" x14ac:dyDescent="0.3">
      <c r="A48" t="s">
        <v>86</v>
      </c>
      <c r="B48" t="s">
        <v>92</v>
      </c>
      <c r="C48">
        <v>2021</v>
      </c>
      <c r="D48">
        <v>12887.435724294062</v>
      </c>
      <c r="E48">
        <v>0.98101513554488096</v>
      </c>
      <c r="F48">
        <v>4.55</v>
      </c>
      <c r="G48">
        <v>1412360000</v>
      </c>
    </row>
    <row r="49" spans="1:7" x14ac:dyDescent="0.3">
      <c r="A49" t="s">
        <v>86</v>
      </c>
      <c r="B49" t="s">
        <v>92</v>
      </c>
      <c r="C49">
        <v>2022</v>
      </c>
      <c r="D49">
        <v>12970.605641432652</v>
      </c>
      <c r="E49">
        <v>1.9735755573905001</v>
      </c>
      <c r="F49">
        <v>4.9800000000000004</v>
      </c>
      <c r="G49">
        <v>1412175000</v>
      </c>
    </row>
    <row r="50" spans="1:7" x14ac:dyDescent="0.3">
      <c r="A50" t="s">
        <v>86</v>
      </c>
      <c r="B50" t="s">
        <v>92</v>
      </c>
      <c r="C50">
        <v>2023</v>
      </c>
      <c r="D50">
        <v>12951.178239704273</v>
      </c>
      <c r="E50">
        <v>0.23483682889304999</v>
      </c>
      <c r="F50">
        <v>4.67</v>
      </c>
      <c r="G50">
        <v>1410710000</v>
      </c>
    </row>
    <row r="51" spans="1:7" x14ac:dyDescent="0.3">
      <c r="A51" t="s">
        <v>86</v>
      </c>
      <c r="B51" t="s">
        <v>92</v>
      </c>
      <c r="C51">
        <v>2024</v>
      </c>
      <c r="D51">
        <v>13293.116226936598</v>
      </c>
      <c r="E51">
        <v>0.21812893843917699</v>
      </c>
      <c r="F51">
        <v>4.59</v>
      </c>
      <c r="G51">
        <v>1408975000</v>
      </c>
    </row>
    <row r="52" spans="1:7" x14ac:dyDescent="0.3">
      <c r="A52" t="s">
        <v>31</v>
      </c>
      <c r="B52" t="s">
        <v>123</v>
      </c>
      <c r="C52">
        <v>2000</v>
      </c>
      <c r="D52">
        <v>22340.593951621708</v>
      </c>
      <c r="E52">
        <v>1.67061991153283</v>
      </c>
      <c r="F52">
        <v>10.218</v>
      </c>
      <c r="G52">
        <v>60918661</v>
      </c>
    </row>
    <row r="53" spans="1:7" x14ac:dyDescent="0.3">
      <c r="A53" t="s">
        <v>31</v>
      </c>
      <c r="B53" t="s">
        <v>123</v>
      </c>
      <c r="C53">
        <v>2001</v>
      </c>
      <c r="D53">
        <v>22331.794834303619</v>
      </c>
      <c r="E53">
        <v>1.63812454286363</v>
      </c>
      <c r="F53">
        <v>8.61</v>
      </c>
      <c r="G53">
        <v>61364377</v>
      </c>
    </row>
    <row r="54" spans="1:7" x14ac:dyDescent="0.3">
      <c r="A54" t="s">
        <v>31</v>
      </c>
      <c r="B54" t="s">
        <v>123</v>
      </c>
      <c r="C54">
        <v>2002</v>
      </c>
      <c r="D54">
        <v>24144.572701952864</v>
      </c>
      <c r="E54">
        <v>1.92190776331623</v>
      </c>
      <c r="F54">
        <v>8.702</v>
      </c>
      <c r="G54">
        <v>61812142</v>
      </c>
    </row>
    <row r="55" spans="1:7" x14ac:dyDescent="0.3">
      <c r="A55" t="s">
        <v>31</v>
      </c>
      <c r="B55" t="s">
        <v>123</v>
      </c>
      <c r="C55">
        <v>2003</v>
      </c>
      <c r="D55">
        <v>29479.522210117506</v>
      </c>
      <c r="E55">
        <v>2.0987023105203</v>
      </c>
      <c r="F55">
        <v>8.3059999999999992</v>
      </c>
      <c r="G55">
        <v>62249855</v>
      </c>
    </row>
    <row r="56" spans="1:7" x14ac:dyDescent="0.3">
      <c r="A56" t="s">
        <v>31</v>
      </c>
      <c r="B56" t="s">
        <v>123</v>
      </c>
      <c r="C56">
        <v>2004</v>
      </c>
      <c r="D56">
        <v>33644.928222036418</v>
      </c>
      <c r="E56">
        <v>2.1461786097531901</v>
      </c>
      <c r="F56">
        <v>8.9139999999999997</v>
      </c>
      <c r="G56">
        <v>62707588</v>
      </c>
    </row>
    <row r="57" spans="1:7" x14ac:dyDescent="0.3">
      <c r="A57" t="s">
        <v>31</v>
      </c>
      <c r="B57" t="s">
        <v>123</v>
      </c>
      <c r="C57">
        <v>2005</v>
      </c>
      <c r="D57">
        <v>34696.37183169715</v>
      </c>
      <c r="E57">
        <v>1.74156647601258</v>
      </c>
      <c r="F57">
        <v>8.8819999999999997</v>
      </c>
      <c r="G57">
        <v>63180854</v>
      </c>
    </row>
    <row r="58" spans="1:7" x14ac:dyDescent="0.3">
      <c r="A58" t="s">
        <v>31</v>
      </c>
      <c r="B58" t="s">
        <v>123</v>
      </c>
      <c r="C58">
        <v>2006</v>
      </c>
      <c r="D58">
        <v>36431.565890655525</v>
      </c>
      <c r="E58">
        <v>1.67618916500309</v>
      </c>
      <c r="F58">
        <v>8.8320000000000007</v>
      </c>
      <c r="G58">
        <v>63622342</v>
      </c>
    </row>
    <row r="59" spans="1:7" x14ac:dyDescent="0.3">
      <c r="A59" t="s">
        <v>31</v>
      </c>
      <c r="B59" t="s">
        <v>123</v>
      </c>
      <c r="C59">
        <v>2007</v>
      </c>
      <c r="D59">
        <v>41486.190782878672</v>
      </c>
      <c r="E59">
        <v>1.48832695801316</v>
      </c>
      <c r="F59">
        <v>8.0079999999999991</v>
      </c>
      <c r="G59">
        <v>64016890</v>
      </c>
    </row>
    <row r="60" spans="1:7" x14ac:dyDescent="0.3">
      <c r="A60" t="s">
        <v>31</v>
      </c>
      <c r="B60" t="s">
        <v>123</v>
      </c>
      <c r="C60">
        <v>2008</v>
      </c>
      <c r="D60">
        <v>45464.818138515802</v>
      </c>
      <c r="E60">
        <v>2.8129238842809898</v>
      </c>
      <c r="F60">
        <v>7.3860000000000001</v>
      </c>
      <c r="G60">
        <v>64375116</v>
      </c>
    </row>
    <row r="61" spans="1:7" x14ac:dyDescent="0.3">
      <c r="A61" t="s">
        <v>31</v>
      </c>
      <c r="B61" t="s">
        <v>123</v>
      </c>
      <c r="C61">
        <v>2009</v>
      </c>
      <c r="D61">
        <v>41728.088416413208</v>
      </c>
      <c r="E61">
        <v>8.7594082533068801E-2</v>
      </c>
      <c r="F61">
        <v>9.1219999999999999</v>
      </c>
      <c r="G61">
        <v>64706436</v>
      </c>
    </row>
    <row r="62" spans="1:7" x14ac:dyDescent="0.3">
      <c r="A62" t="s">
        <v>31</v>
      </c>
      <c r="B62" t="s">
        <v>123</v>
      </c>
      <c r="C62">
        <v>2010</v>
      </c>
      <c r="D62">
        <v>40694.821169702453</v>
      </c>
      <c r="E62">
        <v>1.5331755858805001</v>
      </c>
      <c r="F62">
        <v>9.2789999999999999</v>
      </c>
      <c r="G62">
        <v>65026211</v>
      </c>
    </row>
    <row r="63" spans="1:7" x14ac:dyDescent="0.3">
      <c r="A63" t="s">
        <v>31</v>
      </c>
      <c r="B63" t="s">
        <v>123</v>
      </c>
      <c r="C63">
        <v>2011</v>
      </c>
      <c r="D63">
        <v>43929.784087381166</v>
      </c>
      <c r="E63">
        <v>2.1080747456689002</v>
      </c>
      <c r="F63">
        <v>9.2279999999999998</v>
      </c>
      <c r="G63">
        <v>65340830</v>
      </c>
    </row>
    <row r="64" spans="1:7" x14ac:dyDescent="0.3">
      <c r="A64" t="s">
        <v>31</v>
      </c>
      <c r="B64" t="s">
        <v>123</v>
      </c>
      <c r="C64">
        <v>2012</v>
      </c>
      <c r="D64">
        <v>40863.581441233335</v>
      </c>
      <c r="E64">
        <v>1.95512386272455</v>
      </c>
      <c r="F64">
        <v>9.8409999999999993</v>
      </c>
      <c r="G64">
        <v>65657659</v>
      </c>
    </row>
    <row r="65" spans="1:7" x14ac:dyDescent="0.3">
      <c r="A65" t="s">
        <v>31</v>
      </c>
      <c r="B65" t="s">
        <v>123</v>
      </c>
      <c r="C65">
        <v>2013</v>
      </c>
      <c r="D65">
        <v>42669.179511189272</v>
      </c>
      <c r="E65">
        <v>0.86272986537727303</v>
      </c>
      <c r="F65">
        <v>9.9130000000000003</v>
      </c>
      <c r="G65">
        <v>65997932</v>
      </c>
    </row>
    <row r="66" spans="1:7" x14ac:dyDescent="0.3">
      <c r="A66" t="s">
        <v>31</v>
      </c>
      <c r="B66" t="s">
        <v>123</v>
      </c>
      <c r="C66">
        <v>2014</v>
      </c>
      <c r="D66">
        <v>43148.045928841602</v>
      </c>
      <c r="E66">
        <v>0.50773767900035005</v>
      </c>
      <c r="F66">
        <v>10.273</v>
      </c>
      <c r="G66">
        <v>66312067</v>
      </c>
    </row>
    <row r="67" spans="1:7" x14ac:dyDescent="0.3">
      <c r="A67" t="s">
        <v>31</v>
      </c>
      <c r="B67" t="s">
        <v>123</v>
      </c>
      <c r="C67">
        <v>2015</v>
      </c>
      <c r="D67">
        <v>36702.432373337935</v>
      </c>
      <c r="E67">
        <v>4.0333151834164402E-2</v>
      </c>
      <c r="F67">
        <v>10.353999999999999</v>
      </c>
      <c r="G67">
        <v>66548272</v>
      </c>
    </row>
    <row r="68" spans="1:7" x14ac:dyDescent="0.3">
      <c r="A68" t="s">
        <v>31</v>
      </c>
      <c r="B68" t="s">
        <v>123</v>
      </c>
      <c r="C68">
        <v>2016</v>
      </c>
      <c r="D68">
        <v>37024.215713366888</v>
      </c>
      <c r="E68">
        <v>0.18444977523328801</v>
      </c>
      <c r="F68">
        <v>10.057</v>
      </c>
      <c r="G68">
        <v>66724104</v>
      </c>
    </row>
    <row r="69" spans="1:7" x14ac:dyDescent="0.3">
      <c r="A69" t="s">
        <v>31</v>
      </c>
      <c r="B69" t="s">
        <v>123</v>
      </c>
      <c r="C69">
        <v>2017</v>
      </c>
      <c r="D69">
        <v>38687.162640716364</v>
      </c>
      <c r="E69">
        <v>1.0292061128605201</v>
      </c>
      <c r="F69">
        <v>9.4090000000000007</v>
      </c>
      <c r="G69">
        <v>66918020</v>
      </c>
    </row>
    <row r="70" spans="1:7" x14ac:dyDescent="0.3">
      <c r="A70" t="s">
        <v>31</v>
      </c>
      <c r="B70" t="s">
        <v>123</v>
      </c>
      <c r="C70">
        <v>2018</v>
      </c>
      <c r="D70">
        <v>41418.176648484419</v>
      </c>
      <c r="E70">
        <v>1.85222067317272</v>
      </c>
      <c r="F70">
        <v>9.0180000000000007</v>
      </c>
      <c r="G70">
        <v>67158348</v>
      </c>
    </row>
    <row r="71" spans="1:7" x14ac:dyDescent="0.3">
      <c r="A71" t="s">
        <v>31</v>
      </c>
      <c r="B71" t="s">
        <v>123</v>
      </c>
      <c r="C71">
        <v>2019</v>
      </c>
      <c r="D71">
        <v>40408.284857475053</v>
      </c>
      <c r="E71">
        <v>1.1067657411028999</v>
      </c>
      <c r="F71">
        <v>8.4149999999999991</v>
      </c>
      <c r="G71">
        <v>67382061</v>
      </c>
    </row>
    <row r="72" spans="1:7" x14ac:dyDescent="0.3">
      <c r="A72" t="s">
        <v>31</v>
      </c>
      <c r="B72" t="s">
        <v>123</v>
      </c>
      <c r="C72">
        <v>2020</v>
      </c>
      <c r="D72">
        <v>39169.860600070715</v>
      </c>
      <c r="E72">
        <v>0.47770084709702199</v>
      </c>
      <c r="F72">
        <v>8.0090000000000003</v>
      </c>
      <c r="G72">
        <v>67601110</v>
      </c>
    </row>
    <row r="73" spans="1:7" x14ac:dyDescent="0.3">
      <c r="A73" t="s">
        <v>31</v>
      </c>
      <c r="B73" t="s">
        <v>123</v>
      </c>
      <c r="C73">
        <v>2021</v>
      </c>
      <c r="D73">
        <v>43725.099952124503</v>
      </c>
      <c r="E73">
        <v>1.64090620368408</v>
      </c>
      <c r="F73">
        <v>7.8710000000000004</v>
      </c>
      <c r="G73">
        <v>67842811</v>
      </c>
    </row>
    <row r="74" spans="1:7" x14ac:dyDescent="0.3">
      <c r="A74" t="s">
        <v>31</v>
      </c>
      <c r="B74" t="s">
        <v>123</v>
      </c>
      <c r="C74">
        <v>2022</v>
      </c>
      <c r="D74">
        <v>40988.639640657944</v>
      </c>
      <c r="E74">
        <v>5.2229407921523103</v>
      </c>
      <c r="F74">
        <v>7.3029999999999999</v>
      </c>
      <c r="G74">
        <v>68184457</v>
      </c>
    </row>
    <row r="75" spans="1:7" x14ac:dyDescent="0.3">
      <c r="A75" t="s">
        <v>31</v>
      </c>
      <c r="B75" t="s">
        <v>123</v>
      </c>
      <c r="C75">
        <v>2023</v>
      </c>
      <c r="D75">
        <v>44700.138417754366</v>
      </c>
      <c r="E75">
        <v>4.8800021596911902</v>
      </c>
      <c r="F75">
        <v>7.335</v>
      </c>
      <c r="G75">
        <v>68372286</v>
      </c>
    </row>
    <row r="76" spans="1:7" x14ac:dyDescent="0.3">
      <c r="A76" t="s">
        <v>31</v>
      </c>
      <c r="B76" t="s">
        <v>123</v>
      </c>
      <c r="C76">
        <v>2024</v>
      </c>
      <c r="D76">
        <v>46103.084085588387</v>
      </c>
      <c r="E76">
        <v>1.99742599742599</v>
      </c>
      <c r="F76">
        <v>7.4</v>
      </c>
      <c r="G76">
        <v>68551653</v>
      </c>
    </row>
    <row r="77" spans="1:7" x14ac:dyDescent="0.3">
      <c r="A77" t="s">
        <v>89</v>
      </c>
      <c r="B77" t="s">
        <v>49</v>
      </c>
      <c r="C77">
        <v>2000</v>
      </c>
      <c r="D77">
        <v>23925.855990199114</v>
      </c>
      <c r="E77">
        <v>1.44026838719741</v>
      </c>
      <c r="F77">
        <v>7.9169999999999998</v>
      </c>
      <c r="G77">
        <v>82211508</v>
      </c>
    </row>
    <row r="78" spans="1:7" x14ac:dyDescent="0.3">
      <c r="A78" t="s">
        <v>89</v>
      </c>
      <c r="B78" t="s">
        <v>49</v>
      </c>
      <c r="C78">
        <v>2001</v>
      </c>
      <c r="D78">
        <v>23878.364147165095</v>
      </c>
      <c r="E78">
        <v>1.9838573133447099</v>
      </c>
      <c r="F78">
        <v>7.7729999999999997</v>
      </c>
      <c r="G78">
        <v>82349925</v>
      </c>
    </row>
    <row r="79" spans="1:7" x14ac:dyDescent="0.3">
      <c r="A79" t="s">
        <v>89</v>
      </c>
      <c r="B79" t="s">
        <v>49</v>
      </c>
      <c r="C79">
        <v>2002</v>
      </c>
      <c r="D79">
        <v>25486.594200874752</v>
      </c>
      <c r="E79">
        <v>1.42080615551526</v>
      </c>
      <c r="F79">
        <v>8.4819999999999993</v>
      </c>
      <c r="G79">
        <v>82488495</v>
      </c>
    </row>
    <row r="80" spans="1:7" x14ac:dyDescent="0.3">
      <c r="A80" t="s">
        <v>89</v>
      </c>
      <c r="B80" t="s">
        <v>49</v>
      </c>
      <c r="C80">
        <v>2003</v>
      </c>
      <c r="D80">
        <v>30711.102251133085</v>
      </c>
      <c r="E80">
        <v>1.03422218628562</v>
      </c>
      <c r="F80">
        <v>9.7789999999999999</v>
      </c>
      <c r="G80">
        <v>82534176</v>
      </c>
    </row>
    <row r="81" spans="1:7" x14ac:dyDescent="0.3">
      <c r="A81" t="s">
        <v>89</v>
      </c>
      <c r="B81" t="s">
        <v>49</v>
      </c>
      <c r="C81">
        <v>2004</v>
      </c>
      <c r="D81">
        <v>34566.73591437353</v>
      </c>
      <c r="E81">
        <v>1.66573696655991</v>
      </c>
      <c r="F81">
        <v>10.727</v>
      </c>
      <c r="G81">
        <v>82516260</v>
      </c>
    </row>
    <row r="82" spans="1:7" x14ac:dyDescent="0.3">
      <c r="A82" t="s">
        <v>89</v>
      </c>
      <c r="B82" t="s">
        <v>49</v>
      </c>
      <c r="C82">
        <v>2005</v>
      </c>
      <c r="D82">
        <v>35084.436354626887</v>
      </c>
      <c r="E82">
        <v>1.54691114751328</v>
      </c>
      <c r="F82">
        <v>11.193</v>
      </c>
      <c r="G82">
        <v>82469422</v>
      </c>
    </row>
    <row r="83" spans="1:7" x14ac:dyDescent="0.3">
      <c r="A83" t="s">
        <v>89</v>
      </c>
      <c r="B83" t="s">
        <v>49</v>
      </c>
      <c r="C83">
        <v>2006</v>
      </c>
      <c r="D83">
        <v>36980.334994895376</v>
      </c>
      <c r="E83">
        <v>1.5774264284056301</v>
      </c>
      <c r="F83">
        <v>10.276999999999999</v>
      </c>
      <c r="G83">
        <v>82376451</v>
      </c>
    </row>
    <row r="84" spans="1:7" x14ac:dyDescent="0.3">
      <c r="A84" t="s">
        <v>89</v>
      </c>
      <c r="B84" t="s">
        <v>49</v>
      </c>
      <c r="C84">
        <v>2007</v>
      </c>
      <c r="D84">
        <v>42350.921721148872</v>
      </c>
      <c r="E84">
        <v>2.2983440070094998</v>
      </c>
      <c r="F84">
        <v>8.7319999999999993</v>
      </c>
      <c r="G84">
        <v>82266372</v>
      </c>
    </row>
    <row r="85" spans="1:7" x14ac:dyDescent="0.3">
      <c r="A85" t="s">
        <v>89</v>
      </c>
      <c r="B85" t="s">
        <v>49</v>
      </c>
      <c r="C85">
        <v>2008</v>
      </c>
      <c r="D85">
        <v>46379.164795347875</v>
      </c>
      <c r="E85">
        <v>2.6283798163721901</v>
      </c>
      <c r="F85">
        <v>7.508</v>
      </c>
      <c r="G85">
        <v>82110097</v>
      </c>
    </row>
    <row r="86" spans="1:7" x14ac:dyDescent="0.3">
      <c r="A86" t="s">
        <v>89</v>
      </c>
      <c r="B86" t="s">
        <v>49</v>
      </c>
      <c r="C86">
        <v>2009</v>
      </c>
      <c r="D86">
        <v>42471.88686252258</v>
      </c>
      <c r="E86">
        <v>0.31273900736844601</v>
      </c>
      <c r="F86">
        <v>7.88</v>
      </c>
      <c r="G86">
        <v>81902307</v>
      </c>
    </row>
    <row r="87" spans="1:7" x14ac:dyDescent="0.3">
      <c r="A87" t="s">
        <v>89</v>
      </c>
      <c r="B87" t="s">
        <v>49</v>
      </c>
      <c r="C87">
        <v>2010</v>
      </c>
      <c r="D87">
        <v>42396.966597629347</v>
      </c>
      <c r="E87">
        <v>1.1038103778926001</v>
      </c>
      <c r="F87">
        <v>7.0430000000000001</v>
      </c>
      <c r="G87">
        <v>81776930</v>
      </c>
    </row>
    <row r="88" spans="1:7" x14ac:dyDescent="0.3">
      <c r="A88" t="s">
        <v>89</v>
      </c>
      <c r="B88" t="s">
        <v>49</v>
      </c>
      <c r="C88">
        <v>2011</v>
      </c>
      <c r="D88">
        <v>47630.976188357236</v>
      </c>
      <c r="E88">
        <v>2.0751728373587399</v>
      </c>
      <c r="F88">
        <v>5.9669999999999996</v>
      </c>
      <c r="G88">
        <v>80274983</v>
      </c>
    </row>
    <row r="89" spans="1:7" x14ac:dyDescent="0.3">
      <c r="A89" t="s">
        <v>89</v>
      </c>
      <c r="B89" t="s">
        <v>49</v>
      </c>
      <c r="C89">
        <v>2012</v>
      </c>
      <c r="D89">
        <v>44718.01592140687</v>
      </c>
      <c r="E89">
        <v>2.0084888478295602</v>
      </c>
      <c r="F89">
        <v>5.3719999999999999</v>
      </c>
      <c r="G89">
        <v>80425823</v>
      </c>
    </row>
    <row r="90" spans="1:7" x14ac:dyDescent="0.3">
      <c r="A90" t="s">
        <v>89</v>
      </c>
      <c r="B90" t="s">
        <v>49</v>
      </c>
      <c r="C90">
        <v>2013</v>
      </c>
      <c r="D90">
        <v>47206.83535142419</v>
      </c>
      <c r="E90">
        <v>1.5047233025187601</v>
      </c>
      <c r="F90">
        <v>5.3159999999999998</v>
      </c>
      <c r="G90">
        <v>80645605</v>
      </c>
    </row>
    <row r="91" spans="1:7" x14ac:dyDescent="0.3">
      <c r="A91" t="s">
        <v>89</v>
      </c>
      <c r="B91" t="s">
        <v>49</v>
      </c>
      <c r="C91">
        <v>2014</v>
      </c>
      <c r="D91">
        <v>48959.599120313287</v>
      </c>
      <c r="E91">
        <v>0.90679400043424496</v>
      </c>
      <c r="F91">
        <v>4.9790000000000001</v>
      </c>
      <c r="G91">
        <v>80982500</v>
      </c>
    </row>
    <row r="92" spans="1:7" x14ac:dyDescent="0.3">
      <c r="A92" t="s">
        <v>89</v>
      </c>
      <c r="B92" t="s">
        <v>49</v>
      </c>
      <c r="C92">
        <v>2015</v>
      </c>
      <c r="D92">
        <v>41929.754911072167</v>
      </c>
      <c r="E92">
        <v>0.51442613712545604</v>
      </c>
      <c r="F92">
        <v>4.6120000000000001</v>
      </c>
      <c r="G92">
        <v>81686611</v>
      </c>
    </row>
    <row r="93" spans="1:7" x14ac:dyDescent="0.3">
      <c r="A93" t="s">
        <v>89</v>
      </c>
      <c r="B93" t="s">
        <v>49</v>
      </c>
      <c r="C93">
        <v>2016</v>
      </c>
      <c r="D93">
        <v>42948.938193269365</v>
      </c>
      <c r="E93">
        <v>0.49174700844517399</v>
      </c>
      <c r="F93">
        <v>4.1040000000000001</v>
      </c>
      <c r="G93">
        <v>82348669</v>
      </c>
    </row>
    <row r="94" spans="1:7" x14ac:dyDescent="0.3">
      <c r="A94" t="s">
        <v>89</v>
      </c>
      <c r="B94" t="s">
        <v>49</v>
      </c>
      <c r="C94">
        <v>2017</v>
      </c>
      <c r="D94">
        <v>45553.934149533859</v>
      </c>
      <c r="E94">
        <v>1.50949485109628</v>
      </c>
      <c r="F94">
        <v>3.7810000000000001</v>
      </c>
      <c r="G94">
        <v>82657002</v>
      </c>
    </row>
    <row r="95" spans="1:7" x14ac:dyDescent="0.3">
      <c r="A95" t="s">
        <v>89</v>
      </c>
      <c r="B95" t="s">
        <v>49</v>
      </c>
      <c r="C95">
        <v>2018</v>
      </c>
      <c r="D95">
        <v>48916.16866121543</v>
      </c>
      <c r="E95">
        <v>1.73216879766941</v>
      </c>
      <c r="F95">
        <v>3.3839999999999999</v>
      </c>
      <c r="G95">
        <v>82905782</v>
      </c>
    </row>
    <row r="96" spans="1:7" x14ac:dyDescent="0.3">
      <c r="A96" t="s">
        <v>89</v>
      </c>
      <c r="B96" t="s">
        <v>49</v>
      </c>
      <c r="C96">
        <v>2019</v>
      </c>
      <c r="D96">
        <v>47656.199739747026</v>
      </c>
      <c r="E96">
        <v>1.4456597688825299</v>
      </c>
      <c r="F96">
        <v>3.1629999999999998</v>
      </c>
      <c r="G96">
        <v>83092962</v>
      </c>
    </row>
    <row r="97" spans="1:7" x14ac:dyDescent="0.3">
      <c r="A97" t="s">
        <v>89</v>
      </c>
      <c r="B97" t="s">
        <v>49</v>
      </c>
      <c r="C97">
        <v>2020</v>
      </c>
      <c r="D97">
        <v>47394.873450446918</v>
      </c>
      <c r="E97">
        <v>0.14487792581398101</v>
      </c>
      <c r="F97">
        <v>3.8809999999999998</v>
      </c>
      <c r="G97">
        <v>83160871</v>
      </c>
    </row>
    <row r="98" spans="1:7" x14ac:dyDescent="0.3">
      <c r="A98" t="s">
        <v>89</v>
      </c>
      <c r="B98" t="s">
        <v>49</v>
      </c>
      <c r="C98">
        <v>2021</v>
      </c>
      <c r="D98">
        <v>52349.245999442217</v>
      </c>
      <c r="E98">
        <v>3.0666666666667299</v>
      </c>
      <c r="F98">
        <v>3.5939999999999999</v>
      </c>
      <c r="G98">
        <v>83196078</v>
      </c>
    </row>
    <row r="99" spans="1:7" x14ac:dyDescent="0.3">
      <c r="A99" t="s">
        <v>89</v>
      </c>
      <c r="B99" t="s">
        <v>49</v>
      </c>
      <c r="C99">
        <v>2022</v>
      </c>
      <c r="D99">
        <v>50506.517963854327</v>
      </c>
      <c r="E99">
        <v>6.8725743855109602</v>
      </c>
      <c r="F99">
        <v>3.137</v>
      </c>
      <c r="G99">
        <v>83177813</v>
      </c>
    </row>
    <row r="100" spans="1:7" x14ac:dyDescent="0.3">
      <c r="A100" t="s">
        <v>89</v>
      </c>
      <c r="B100" t="s">
        <v>49</v>
      </c>
      <c r="C100">
        <v>2023</v>
      </c>
      <c r="D100">
        <v>54776.766823549093</v>
      </c>
      <c r="E100">
        <v>5.9464366772582302</v>
      </c>
      <c r="F100">
        <v>3.0710000000000002</v>
      </c>
      <c r="G100">
        <v>83287273</v>
      </c>
    </row>
    <row r="101" spans="1:7" x14ac:dyDescent="0.3">
      <c r="A101" t="s">
        <v>89</v>
      </c>
      <c r="B101" t="s">
        <v>49</v>
      </c>
      <c r="C101">
        <v>2024</v>
      </c>
      <c r="D101">
        <v>56103.732318255446</v>
      </c>
      <c r="E101">
        <v>2.2564981433876001</v>
      </c>
      <c r="F101">
        <v>3.4</v>
      </c>
      <c r="G101">
        <v>83516593</v>
      </c>
    </row>
    <row r="102" spans="1:7" x14ac:dyDescent="0.3">
      <c r="A102" t="s">
        <v>17</v>
      </c>
      <c r="B102" t="s">
        <v>114</v>
      </c>
      <c r="C102">
        <v>2000</v>
      </c>
      <c r="D102">
        <v>442.75021893726324</v>
      </c>
      <c r="E102">
        <v>4.0094359104519004</v>
      </c>
      <c r="F102">
        <v>7.5890000000000004</v>
      </c>
      <c r="G102">
        <v>1057922733</v>
      </c>
    </row>
    <row r="103" spans="1:7" x14ac:dyDescent="0.3">
      <c r="A103" t="s">
        <v>17</v>
      </c>
      <c r="B103" t="s">
        <v>114</v>
      </c>
      <c r="C103">
        <v>2001</v>
      </c>
      <c r="D103">
        <v>450.35790051412818</v>
      </c>
      <c r="E103">
        <v>3.7792931223563699</v>
      </c>
      <c r="F103">
        <v>7.6109999999999998</v>
      </c>
      <c r="G103">
        <v>1077898575</v>
      </c>
    </row>
    <row r="104" spans="1:7" x14ac:dyDescent="0.3">
      <c r="A104" t="s">
        <v>17</v>
      </c>
      <c r="B104" t="s">
        <v>114</v>
      </c>
      <c r="C104">
        <v>2002</v>
      </c>
      <c r="D104">
        <v>469.14992897392727</v>
      </c>
      <c r="E104">
        <v>4.29715203929561</v>
      </c>
      <c r="F104">
        <v>7.681</v>
      </c>
      <c r="G104">
        <v>1097600380</v>
      </c>
    </row>
    <row r="105" spans="1:7" x14ac:dyDescent="0.3">
      <c r="A105" t="s">
        <v>17</v>
      </c>
      <c r="B105" t="s">
        <v>114</v>
      </c>
      <c r="C105">
        <v>2003</v>
      </c>
      <c r="D105">
        <v>544.14313354500223</v>
      </c>
      <c r="E105">
        <v>3.8058589952885198</v>
      </c>
      <c r="F105">
        <v>7.633</v>
      </c>
      <c r="G105">
        <v>1116803006</v>
      </c>
    </row>
    <row r="106" spans="1:7" x14ac:dyDescent="0.3">
      <c r="A106" t="s">
        <v>17</v>
      </c>
      <c r="B106" t="s">
        <v>114</v>
      </c>
      <c r="C106">
        <v>2004</v>
      </c>
      <c r="D106">
        <v>624.25882651006611</v>
      </c>
      <c r="E106">
        <v>3.7672517347751699</v>
      </c>
      <c r="F106">
        <v>7.5979999999999999</v>
      </c>
      <c r="G106">
        <v>1135991513</v>
      </c>
    </row>
    <row r="107" spans="1:7" x14ac:dyDescent="0.3">
      <c r="A107" t="s">
        <v>17</v>
      </c>
      <c r="B107" t="s">
        <v>114</v>
      </c>
      <c r="C107">
        <v>2005</v>
      </c>
      <c r="D107">
        <v>710.48808040894892</v>
      </c>
      <c r="E107">
        <v>4.2463436203192302</v>
      </c>
      <c r="F107">
        <v>7.5510000000000002</v>
      </c>
      <c r="G107">
        <v>1154676322</v>
      </c>
    </row>
    <row r="108" spans="1:7" x14ac:dyDescent="0.3">
      <c r="A108" t="s">
        <v>17</v>
      </c>
      <c r="B108" t="s">
        <v>114</v>
      </c>
      <c r="C108">
        <v>2006</v>
      </c>
      <c r="D108">
        <v>801.66835365902227</v>
      </c>
      <c r="E108">
        <v>5.7965233756163297</v>
      </c>
      <c r="F108">
        <v>7.5529999999999999</v>
      </c>
      <c r="G108">
        <v>1172878890</v>
      </c>
    </row>
    <row r="109" spans="1:7" x14ac:dyDescent="0.3">
      <c r="A109" t="s">
        <v>17</v>
      </c>
      <c r="B109" t="s">
        <v>114</v>
      </c>
      <c r="C109">
        <v>2007</v>
      </c>
      <c r="D109">
        <v>1021.8870770682593</v>
      </c>
      <c r="E109">
        <v>6.3728813559323099</v>
      </c>
      <c r="F109">
        <v>7.5620000000000003</v>
      </c>
      <c r="G109">
        <v>1190676021</v>
      </c>
    </row>
    <row r="110" spans="1:7" x14ac:dyDescent="0.3">
      <c r="A110" t="s">
        <v>17</v>
      </c>
      <c r="B110" t="s">
        <v>114</v>
      </c>
      <c r="C110">
        <v>2008</v>
      </c>
      <c r="D110">
        <v>992.51958492382755</v>
      </c>
      <c r="E110">
        <v>8.3492670490757401</v>
      </c>
      <c r="F110">
        <v>7.6289999999999996</v>
      </c>
      <c r="G110">
        <v>1207930964</v>
      </c>
    </row>
    <row r="111" spans="1:7" x14ac:dyDescent="0.3">
      <c r="A111" t="s">
        <v>17</v>
      </c>
      <c r="B111" t="s">
        <v>114</v>
      </c>
      <c r="C111">
        <v>2009</v>
      </c>
      <c r="D111">
        <v>1094.9497459843622</v>
      </c>
      <c r="E111">
        <v>10.8823529411764</v>
      </c>
      <c r="F111">
        <v>7.6360000000000001</v>
      </c>
      <c r="G111">
        <v>1225524753</v>
      </c>
    </row>
    <row r="112" spans="1:7" x14ac:dyDescent="0.3">
      <c r="A112" t="s">
        <v>17</v>
      </c>
      <c r="B112" t="s">
        <v>114</v>
      </c>
      <c r="C112">
        <v>2010</v>
      </c>
      <c r="D112">
        <v>1347.5193907136679</v>
      </c>
      <c r="E112">
        <v>11.989389920424401</v>
      </c>
      <c r="F112">
        <v>7.6310000000000002</v>
      </c>
      <c r="G112">
        <v>1243481564</v>
      </c>
    </row>
    <row r="113" spans="1:7" x14ac:dyDescent="0.3">
      <c r="A113" t="s">
        <v>17</v>
      </c>
      <c r="B113" t="s">
        <v>114</v>
      </c>
      <c r="C113">
        <v>2011</v>
      </c>
      <c r="D113">
        <v>1445.4612748603658</v>
      </c>
      <c r="E113">
        <v>8.9117933648335992</v>
      </c>
      <c r="F113">
        <v>7.609</v>
      </c>
      <c r="G113">
        <v>1261224954</v>
      </c>
    </row>
    <row r="114" spans="1:7" x14ac:dyDescent="0.3">
      <c r="A114" t="s">
        <v>17</v>
      </c>
      <c r="B114" t="s">
        <v>114</v>
      </c>
      <c r="C114">
        <v>2012</v>
      </c>
      <c r="D114">
        <v>1429.321995200319</v>
      </c>
      <c r="E114">
        <v>9.4789969141979196</v>
      </c>
      <c r="F114">
        <v>7.6449999999999996</v>
      </c>
      <c r="G114">
        <v>1278674502</v>
      </c>
    </row>
    <row r="115" spans="1:7" x14ac:dyDescent="0.3">
      <c r="A115" t="s">
        <v>17</v>
      </c>
      <c r="B115" t="s">
        <v>114</v>
      </c>
      <c r="C115">
        <v>2013</v>
      </c>
      <c r="D115">
        <v>1432.843975121953</v>
      </c>
      <c r="E115">
        <v>10.0178784746104</v>
      </c>
      <c r="F115">
        <v>7.6779999999999999</v>
      </c>
      <c r="G115">
        <v>1295829511</v>
      </c>
    </row>
    <row r="116" spans="1:7" x14ac:dyDescent="0.3">
      <c r="A116" t="s">
        <v>17</v>
      </c>
      <c r="B116" t="s">
        <v>114</v>
      </c>
      <c r="C116">
        <v>2014</v>
      </c>
      <c r="D116">
        <v>1553.8839607511832</v>
      </c>
      <c r="E116">
        <v>6.6656567186789903</v>
      </c>
      <c r="F116">
        <v>7.6559999999999997</v>
      </c>
      <c r="G116">
        <v>1312277191</v>
      </c>
    </row>
    <row r="117" spans="1:7" x14ac:dyDescent="0.3">
      <c r="A117" t="s">
        <v>17</v>
      </c>
      <c r="B117" t="s">
        <v>114</v>
      </c>
      <c r="C117">
        <v>2015</v>
      </c>
      <c r="D117">
        <v>1583.9981590798479</v>
      </c>
      <c r="E117">
        <v>4.9069734412724904</v>
      </c>
      <c r="F117">
        <v>7.6289999999999996</v>
      </c>
      <c r="G117">
        <v>1328024498</v>
      </c>
    </row>
    <row r="118" spans="1:7" x14ac:dyDescent="0.3">
      <c r="A118" t="s">
        <v>17</v>
      </c>
      <c r="B118" t="s">
        <v>114</v>
      </c>
      <c r="C118">
        <v>2016</v>
      </c>
      <c r="D118">
        <v>1707.5089291224338</v>
      </c>
      <c r="E118">
        <v>4.9482163406213404</v>
      </c>
      <c r="F118">
        <v>7.6109999999999998</v>
      </c>
      <c r="G118">
        <v>1343944296</v>
      </c>
    </row>
    <row r="119" spans="1:7" x14ac:dyDescent="0.3">
      <c r="A119" t="s">
        <v>17</v>
      </c>
      <c r="B119" t="s">
        <v>114</v>
      </c>
      <c r="C119">
        <v>2017</v>
      </c>
      <c r="D119">
        <v>1950.1046828086635</v>
      </c>
      <c r="E119">
        <v>3.3281733746130402</v>
      </c>
      <c r="F119">
        <v>7.6260000000000003</v>
      </c>
      <c r="G119">
        <v>1359657400</v>
      </c>
    </row>
    <row r="120" spans="1:7" x14ac:dyDescent="0.3">
      <c r="A120" t="s">
        <v>17</v>
      </c>
      <c r="B120" t="s">
        <v>114</v>
      </c>
      <c r="C120">
        <v>2018</v>
      </c>
      <c r="D120">
        <v>1966.2545517167889</v>
      </c>
      <c r="E120">
        <v>3.9388264669164199</v>
      </c>
      <c r="F120">
        <v>7.6520000000000001</v>
      </c>
      <c r="G120">
        <v>1374659064</v>
      </c>
    </row>
    <row r="121" spans="1:7" x14ac:dyDescent="0.3">
      <c r="A121" t="s">
        <v>17</v>
      </c>
      <c r="B121" t="s">
        <v>114</v>
      </c>
      <c r="C121">
        <v>2019</v>
      </c>
      <c r="D121">
        <v>2041.4286369858535</v>
      </c>
      <c r="E121">
        <v>3.7295057353912302</v>
      </c>
      <c r="F121">
        <v>6.51</v>
      </c>
      <c r="G121">
        <v>1389030312</v>
      </c>
    </row>
    <row r="122" spans="1:7" x14ac:dyDescent="0.3">
      <c r="A122" t="s">
        <v>17</v>
      </c>
      <c r="B122" t="s">
        <v>114</v>
      </c>
      <c r="C122">
        <v>2020</v>
      </c>
      <c r="D122">
        <v>1907.042516376687</v>
      </c>
      <c r="E122">
        <v>6.6234367762852902</v>
      </c>
      <c r="F122">
        <v>7.859</v>
      </c>
      <c r="G122">
        <v>1402617695</v>
      </c>
    </row>
    <row r="123" spans="1:7" x14ac:dyDescent="0.3">
      <c r="A123" t="s">
        <v>17</v>
      </c>
      <c r="B123" t="s">
        <v>114</v>
      </c>
      <c r="C123">
        <v>2021</v>
      </c>
      <c r="D123">
        <v>2239.6138436748224</v>
      </c>
      <c r="E123">
        <v>5.1314074717636302</v>
      </c>
      <c r="F123">
        <v>6.38</v>
      </c>
      <c r="G123">
        <v>1414203896</v>
      </c>
    </row>
    <row r="124" spans="1:7" x14ac:dyDescent="0.3">
      <c r="A124" t="s">
        <v>17</v>
      </c>
      <c r="B124" t="s">
        <v>114</v>
      </c>
      <c r="C124">
        <v>2022</v>
      </c>
      <c r="D124">
        <v>2279.9814571936909</v>
      </c>
      <c r="E124">
        <v>6.6990341407985703</v>
      </c>
      <c r="F124">
        <v>4.8220000000000001</v>
      </c>
      <c r="G124">
        <v>1425423212</v>
      </c>
    </row>
    <row r="125" spans="1:7" x14ac:dyDescent="0.3">
      <c r="A125" t="s">
        <v>17</v>
      </c>
      <c r="B125" t="s">
        <v>114</v>
      </c>
      <c r="C125">
        <v>2023</v>
      </c>
      <c r="D125">
        <v>2434.4482634098913</v>
      </c>
      <c r="E125">
        <v>5.6491431890792496</v>
      </c>
      <c r="F125">
        <v>4.1719999999999997</v>
      </c>
      <c r="G125">
        <v>1438069596</v>
      </c>
    </row>
    <row r="126" spans="1:7" x14ac:dyDescent="0.3">
      <c r="A126" t="s">
        <v>17</v>
      </c>
      <c r="B126" t="s">
        <v>114</v>
      </c>
      <c r="C126">
        <v>2024</v>
      </c>
      <c r="D126">
        <v>2591.9916607121977</v>
      </c>
      <c r="E126">
        <v>4.9530355097366003</v>
      </c>
      <c r="F126">
        <v>4.173</v>
      </c>
      <c r="G126">
        <v>1450935791</v>
      </c>
    </row>
    <row r="127" spans="1:7" x14ac:dyDescent="0.3">
      <c r="A127" t="s">
        <v>91</v>
      </c>
      <c r="B127" t="s">
        <v>70</v>
      </c>
      <c r="C127">
        <v>2000</v>
      </c>
      <c r="D127">
        <v>763.7111249509245</v>
      </c>
      <c r="E127">
        <v>3.6886203705668099</v>
      </c>
      <c r="F127">
        <v>6.077</v>
      </c>
      <c r="G127">
        <v>216077790</v>
      </c>
    </row>
    <row r="128" spans="1:7" x14ac:dyDescent="0.3">
      <c r="A128" t="s">
        <v>91</v>
      </c>
      <c r="B128" t="s">
        <v>70</v>
      </c>
      <c r="C128">
        <v>2001</v>
      </c>
      <c r="D128">
        <v>732.30709340570763</v>
      </c>
      <c r="E128">
        <v>11.5001160550887</v>
      </c>
      <c r="F128">
        <v>6.0819999999999999</v>
      </c>
      <c r="G128">
        <v>219097902</v>
      </c>
    </row>
    <row r="129" spans="1:7" x14ac:dyDescent="0.3">
      <c r="A129" t="s">
        <v>91</v>
      </c>
      <c r="B129" t="s">
        <v>70</v>
      </c>
      <c r="C129">
        <v>2002</v>
      </c>
      <c r="D129">
        <v>881.00291356913124</v>
      </c>
      <c r="E129">
        <v>11.900120033841301</v>
      </c>
      <c r="F129">
        <v>6.6040000000000001</v>
      </c>
      <c r="G129">
        <v>222088495</v>
      </c>
    </row>
    <row r="130" spans="1:7" x14ac:dyDescent="0.3">
      <c r="A130" t="s">
        <v>91</v>
      </c>
      <c r="B130" t="s">
        <v>70</v>
      </c>
      <c r="C130">
        <v>2003</v>
      </c>
      <c r="D130">
        <v>1043.2105838671025</v>
      </c>
      <c r="E130">
        <v>6.7573125633356401</v>
      </c>
      <c r="F130">
        <v>6.657</v>
      </c>
      <c r="G130">
        <v>225048008</v>
      </c>
    </row>
    <row r="131" spans="1:7" x14ac:dyDescent="0.3">
      <c r="A131" t="s">
        <v>91</v>
      </c>
      <c r="B131" t="s">
        <v>70</v>
      </c>
      <c r="C131">
        <v>2004</v>
      </c>
      <c r="D131">
        <v>1126.8400444717279</v>
      </c>
      <c r="E131">
        <v>6.0640618913364701</v>
      </c>
      <c r="F131">
        <v>7.3029999999999999</v>
      </c>
      <c r="G131">
        <v>227926649</v>
      </c>
    </row>
    <row r="132" spans="1:7" x14ac:dyDescent="0.3">
      <c r="A132" t="s">
        <v>91</v>
      </c>
      <c r="B132" t="s">
        <v>70</v>
      </c>
      <c r="C132">
        <v>2005</v>
      </c>
      <c r="D132">
        <v>1238.2144762948797</v>
      </c>
      <c r="E132">
        <v>10.4532001873347</v>
      </c>
      <c r="F132">
        <v>7.9450000000000003</v>
      </c>
      <c r="G132">
        <v>230871650</v>
      </c>
    </row>
    <row r="133" spans="1:7" x14ac:dyDescent="0.3">
      <c r="A133" t="s">
        <v>91</v>
      </c>
      <c r="B133" t="s">
        <v>70</v>
      </c>
      <c r="C133">
        <v>2006</v>
      </c>
      <c r="D133">
        <v>1558.3156284716338</v>
      </c>
      <c r="E133">
        <v>13.108670985345899</v>
      </c>
      <c r="F133">
        <v>7.5510000000000002</v>
      </c>
      <c r="G133">
        <v>233951652</v>
      </c>
    </row>
    <row r="134" spans="1:7" x14ac:dyDescent="0.3">
      <c r="A134" t="s">
        <v>91</v>
      </c>
      <c r="B134" t="s">
        <v>70</v>
      </c>
      <c r="C134">
        <v>2007</v>
      </c>
      <c r="D134">
        <v>1823.2197625507274</v>
      </c>
      <c r="E134">
        <v>6.4065608796600397</v>
      </c>
      <c r="F134">
        <v>8.06</v>
      </c>
      <c r="G134">
        <v>237062337</v>
      </c>
    </row>
    <row r="135" spans="1:7" x14ac:dyDescent="0.3">
      <c r="A135" t="s">
        <v>91</v>
      </c>
      <c r="B135" t="s">
        <v>70</v>
      </c>
      <c r="C135">
        <v>2008</v>
      </c>
      <c r="D135">
        <v>2124.5548392061796</v>
      </c>
      <c r="E135">
        <v>10.2266663272482</v>
      </c>
      <c r="F135">
        <v>7.2080000000000002</v>
      </c>
      <c r="G135">
        <v>240157903</v>
      </c>
    </row>
    <row r="136" spans="1:7" x14ac:dyDescent="0.3">
      <c r="A136" t="s">
        <v>91</v>
      </c>
      <c r="B136" t="s">
        <v>70</v>
      </c>
      <c r="C136">
        <v>2009</v>
      </c>
      <c r="D136">
        <v>2218.4854185297663</v>
      </c>
      <c r="E136">
        <v>4.3864131179207302</v>
      </c>
      <c r="F136">
        <v>6.1059999999999999</v>
      </c>
      <c r="G136">
        <v>243220028</v>
      </c>
    </row>
    <row r="137" spans="1:7" x14ac:dyDescent="0.3">
      <c r="A137" t="s">
        <v>91</v>
      </c>
      <c r="B137" t="s">
        <v>70</v>
      </c>
      <c r="C137">
        <v>2010</v>
      </c>
      <c r="D137">
        <v>3065.6834837776487</v>
      </c>
      <c r="E137">
        <v>5.1342063901588499</v>
      </c>
      <c r="F137">
        <v>5.6139999999999999</v>
      </c>
      <c r="G137">
        <v>246305322</v>
      </c>
    </row>
    <row r="138" spans="1:7" x14ac:dyDescent="0.3">
      <c r="A138" t="s">
        <v>91</v>
      </c>
      <c r="B138" t="s">
        <v>70</v>
      </c>
      <c r="C138">
        <v>2011</v>
      </c>
      <c r="D138">
        <v>3579.4644246615212</v>
      </c>
      <c r="E138">
        <v>5.3560484911258204</v>
      </c>
      <c r="F138">
        <v>5.1529999999999996</v>
      </c>
      <c r="G138">
        <v>249470032</v>
      </c>
    </row>
    <row r="139" spans="1:7" x14ac:dyDescent="0.3">
      <c r="A139" t="s">
        <v>91</v>
      </c>
      <c r="B139" t="s">
        <v>70</v>
      </c>
      <c r="C139">
        <v>2012</v>
      </c>
      <c r="D139">
        <v>3632.2725403033064</v>
      </c>
      <c r="E139">
        <v>4.2795142691942996</v>
      </c>
      <c r="F139">
        <v>4.468</v>
      </c>
      <c r="G139">
        <v>252698525</v>
      </c>
    </row>
    <row r="140" spans="1:7" x14ac:dyDescent="0.3">
      <c r="A140" t="s">
        <v>91</v>
      </c>
      <c r="B140" t="s">
        <v>70</v>
      </c>
      <c r="C140">
        <v>2013</v>
      </c>
      <c r="D140">
        <v>3566.6028450607755</v>
      </c>
      <c r="E140">
        <v>6.4124945790039103</v>
      </c>
      <c r="F140">
        <v>4.3360000000000003</v>
      </c>
      <c r="G140">
        <v>255852467</v>
      </c>
    </row>
    <row r="141" spans="1:7" x14ac:dyDescent="0.3">
      <c r="A141" t="s">
        <v>91</v>
      </c>
      <c r="B141" t="s">
        <v>70</v>
      </c>
      <c r="C141">
        <v>2014</v>
      </c>
      <c r="D141">
        <v>3441.0680846400842</v>
      </c>
      <c r="E141">
        <v>6.3949288239655901</v>
      </c>
      <c r="F141">
        <v>4.0490000000000004</v>
      </c>
      <c r="G141">
        <v>258877399</v>
      </c>
    </row>
    <row r="142" spans="1:7" x14ac:dyDescent="0.3">
      <c r="A142" t="s">
        <v>91</v>
      </c>
      <c r="B142" t="s">
        <v>70</v>
      </c>
      <c r="C142">
        <v>2015</v>
      </c>
      <c r="D142">
        <v>3288.222697255384</v>
      </c>
      <c r="E142">
        <v>6.3631206119664601</v>
      </c>
      <c r="F142">
        <v>4.5140000000000002</v>
      </c>
      <c r="G142">
        <v>261799249</v>
      </c>
    </row>
    <row r="143" spans="1:7" x14ac:dyDescent="0.3">
      <c r="A143" t="s">
        <v>91</v>
      </c>
      <c r="B143" t="s">
        <v>70</v>
      </c>
      <c r="C143">
        <v>2016</v>
      </c>
      <c r="D143">
        <v>3521.469434575738</v>
      </c>
      <c r="E143">
        <v>3.5258045281545098</v>
      </c>
      <c r="F143">
        <v>4.3010000000000002</v>
      </c>
      <c r="G143">
        <v>264627418</v>
      </c>
    </row>
    <row r="144" spans="1:7" x14ac:dyDescent="0.3">
      <c r="A144" t="s">
        <v>91</v>
      </c>
      <c r="B144" t="s">
        <v>70</v>
      </c>
      <c r="C144">
        <v>2017</v>
      </c>
      <c r="D144">
        <v>3798.8832617452576</v>
      </c>
      <c r="E144">
        <v>3.8087985769194801</v>
      </c>
      <c r="F144">
        <v>3.7829999999999999</v>
      </c>
      <c r="G144">
        <v>267346658</v>
      </c>
    </row>
    <row r="145" spans="1:7" x14ac:dyDescent="0.3">
      <c r="A145" t="s">
        <v>91</v>
      </c>
      <c r="B145" t="s">
        <v>70</v>
      </c>
      <c r="C145">
        <v>2018</v>
      </c>
      <c r="D145">
        <v>3860.9535309072558</v>
      </c>
      <c r="E145">
        <v>3.1983475592499602</v>
      </c>
      <c r="F145">
        <v>4.3869999999999996</v>
      </c>
      <c r="G145">
        <v>269951846</v>
      </c>
    </row>
    <row r="146" spans="1:7" x14ac:dyDescent="0.3">
      <c r="A146" t="s">
        <v>91</v>
      </c>
      <c r="B146" t="s">
        <v>70</v>
      </c>
      <c r="C146">
        <v>2019</v>
      </c>
      <c r="D146">
        <v>4106.9485616035772</v>
      </c>
      <c r="E146">
        <v>3.0305846094166</v>
      </c>
      <c r="F146">
        <v>3.59</v>
      </c>
      <c r="G146">
        <v>272489381</v>
      </c>
    </row>
    <row r="147" spans="1:7" x14ac:dyDescent="0.3">
      <c r="A147" t="s">
        <v>91</v>
      </c>
      <c r="B147" t="s">
        <v>70</v>
      </c>
      <c r="C147">
        <v>2020</v>
      </c>
      <c r="D147">
        <v>3853.7028877414587</v>
      </c>
      <c r="E147">
        <v>1.91983527270792</v>
      </c>
      <c r="F147">
        <v>4.2549999999999999</v>
      </c>
      <c r="G147">
        <v>274814866</v>
      </c>
    </row>
    <row r="148" spans="1:7" x14ac:dyDescent="0.3">
      <c r="A148" t="s">
        <v>91</v>
      </c>
      <c r="B148" t="s">
        <v>70</v>
      </c>
      <c r="C148">
        <v>2021</v>
      </c>
      <c r="D148">
        <v>4287.1731399509836</v>
      </c>
      <c r="E148">
        <v>1.5600788298333399</v>
      </c>
      <c r="F148">
        <v>3.827</v>
      </c>
      <c r="G148">
        <v>276758053</v>
      </c>
    </row>
    <row r="149" spans="1:7" x14ac:dyDescent="0.3">
      <c r="A149" t="s">
        <v>91</v>
      </c>
      <c r="B149" t="s">
        <v>70</v>
      </c>
      <c r="C149">
        <v>2022</v>
      </c>
      <c r="D149">
        <v>4730.8348483610689</v>
      </c>
      <c r="E149">
        <v>4.2094646371478399</v>
      </c>
      <c r="F149">
        <v>3.4620000000000002</v>
      </c>
      <c r="G149">
        <v>278830529</v>
      </c>
    </row>
    <row r="150" spans="1:7" x14ac:dyDescent="0.3">
      <c r="A150" t="s">
        <v>91</v>
      </c>
      <c r="B150" t="s">
        <v>70</v>
      </c>
      <c r="C150">
        <v>2023</v>
      </c>
      <c r="D150">
        <v>4876.2992959842977</v>
      </c>
      <c r="E150">
        <v>3.6693865485976098</v>
      </c>
      <c r="F150">
        <v>3.3079999999999998</v>
      </c>
      <c r="G150">
        <v>281190067</v>
      </c>
    </row>
    <row r="151" spans="1:7" x14ac:dyDescent="0.3">
      <c r="A151" t="s">
        <v>91</v>
      </c>
      <c r="B151" t="s">
        <v>70</v>
      </c>
      <c r="C151">
        <v>2024</v>
      </c>
      <c r="D151">
        <v>4925.4364499266594</v>
      </c>
      <c r="E151">
        <v>2.18151273615188</v>
      </c>
      <c r="F151">
        <v>3.3010000000000002</v>
      </c>
      <c r="G151">
        <v>283487931</v>
      </c>
    </row>
    <row r="152" spans="1:7" x14ac:dyDescent="0.3">
      <c r="A152" t="s">
        <v>120</v>
      </c>
      <c r="B152" t="s">
        <v>68</v>
      </c>
      <c r="C152">
        <v>2000</v>
      </c>
      <c r="D152">
        <v>26334.567205050083</v>
      </c>
      <c r="E152">
        <v>5.5634402497870701</v>
      </c>
      <c r="F152">
        <v>4.3179999999999996</v>
      </c>
      <c r="G152">
        <v>3805174</v>
      </c>
    </row>
    <row r="153" spans="1:7" x14ac:dyDescent="0.3">
      <c r="A153" t="s">
        <v>120</v>
      </c>
      <c r="B153" t="s">
        <v>68</v>
      </c>
      <c r="C153">
        <v>2001</v>
      </c>
      <c r="D153">
        <v>28282.40988207296</v>
      </c>
      <c r="E153">
        <v>4.8668997042215798</v>
      </c>
      <c r="F153">
        <v>3.6840000000000002</v>
      </c>
      <c r="G153">
        <v>3866243</v>
      </c>
    </row>
    <row r="154" spans="1:7" x14ac:dyDescent="0.3">
      <c r="A154" t="s">
        <v>120</v>
      </c>
      <c r="B154" t="s">
        <v>68</v>
      </c>
      <c r="C154">
        <v>2002</v>
      </c>
      <c r="D154">
        <v>32705.434556569817</v>
      </c>
      <c r="E154">
        <v>4.62820512820515</v>
      </c>
      <c r="F154">
        <v>4.2160000000000002</v>
      </c>
      <c r="G154">
        <v>3931947</v>
      </c>
    </row>
    <row r="155" spans="1:7" x14ac:dyDescent="0.3">
      <c r="A155" t="s">
        <v>120</v>
      </c>
      <c r="B155" t="s">
        <v>68</v>
      </c>
      <c r="C155">
        <v>2003</v>
      </c>
      <c r="D155">
        <v>41203.529584756849</v>
      </c>
      <c r="E155">
        <v>3.4922190907976498</v>
      </c>
      <c r="F155">
        <v>4.4779999999999998</v>
      </c>
      <c r="G155">
        <v>3996521</v>
      </c>
    </row>
    <row r="156" spans="1:7" x14ac:dyDescent="0.3">
      <c r="A156" t="s">
        <v>120</v>
      </c>
      <c r="B156" t="s">
        <v>68</v>
      </c>
      <c r="C156">
        <v>2004</v>
      </c>
      <c r="D156">
        <v>47754.202319424396</v>
      </c>
      <c r="E156">
        <v>2.17854605730522</v>
      </c>
      <c r="F156">
        <v>4.4909999999999997</v>
      </c>
      <c r="G156">
        <v>4070262</v>
      </c>
    </row>
    <row r="157" spans="1:7" x14ac:dyDescent="0.3">
      <c r="A157" t="s">
        <v>120</v>
      </c>
      <c r="B157" t="s">
        <v>68</v>
      </c>
      <c r="C157">
        <v>2005</v>
      </c>
      <c r="D157">
        <v>50933.021609558884</v>
      </c>
      <c r="E157">
        <v>2.4565469293163802</v>
      </c>
      <c r="F157">
        <v>4.2370000000000001</v>
      </c>
      <c r="G157">
        <v>4159914</v>
      </c>
    </row>
    <row r="158" spans="1:7" x14ac:dyDescent="0.3">
      <c r="A158" t="s">
        <v>120</v>
      </c>
      <c r="B158" t="s">
        <v>68</v>
      </c>
      <c r="C158">
        <v>2006</v>
      </c>
      <c r="D158">
        <v>54329.161859962383</v>
      </c>
      <c r="E158">
        <v>3.9357611400135299</v>
      </c>
      <c r="F158">
        <v>4.3550000000000004</v>
      </c>
      <c r="G158">
        <v>4273591</v>
      </c>
    </row>
    <row r="159" spans="1:7" x14ac:dyDescent="0.3">
      <c r="A159" t="s">
        <v>120</v>
      </c>
      <c r="B159" t="s">
        <v>68</v>
      </c>
      <c r="C159">
        <v>2007</v>
      </c>
      <c r="D159">
        <v>61396.417461175995</v>
      </c>
      <c r="E159">
        <v>4.8857453754080096</v>
      </c>
      <c r="F159">
        <v>4.9800000000000004</v>
      </c>
      <c r="G159">
        <v>4398942</v>
      </c>
    </row>
    <row r="160" spans="1:7" x14ac:dyDescent="0.3">
      <c r="A160" t="s">
        <v>120</v>
      </c>
      <c r="B160" t="s">
        <v>68</v>
      </c>
      <c r="C160">
        <v>2008</v>
      </c>
      <c r="D160">
        <v>61353.106562952322</v>
      </c>
      <c r="E160">
        <v>4.0356883494139097</v>
      </c>
      <c r="F160">
        <v>6.774</v>
      </c>
      <c r="G160">
        <v>4489544</v>
      </c>
    </row>
    <row r="161" spans="1:7" x14ac:dyDescent="0.3">
      <c r="A161" t="s">
        <v>120</v>
      </c>
      <c r="B161" t="s">
        <v>68</v>
      </c>
      <c r="C161">
        <v>2009</v>
      </c>
      <c r="D161">
        <v>52133.090616254391</v>
      </c>
      <c r="E161">
        <v>-4.4475468687674597</v>
      </c>
      <c r="F161">
        <v>12.609</v>
      </c>
      <c r="G161">
        <v>4535375</v>
      </c>
    </row>
    <row r="162" spans="1:7" x14ac:dyDescent="0.3">
      <c r="A162" t="s">
        <v>120</v>
      </c>
      <c r="B162" t="s">
        <v>68</v>
      </c>
      <c r="C162">
        <v>2010</v>
      </c>
      <c r="D162">
        <v>48623.966642248728</v>
      </c>
      <c r="E162">
        <v>-0.91838864537677301</v>
      </c>
      <c r="F162">
        <v>14.534000000000001</v>
      </c>
      <c r="G162">
        <v>4560155</v>
      </c>
    </row>
    <row r="163" spans="1:7" x14ac:dyDescent="0.3">
      <c r="A163" t="s">
        <v>120</v>
      </c>
      <c r="B163" t="s">
        <v>68</v>
      </c>
      <c r="C163">
        <v>2011</v>
      </c>
      <c r="D163">
        <v>52613.854035568875</v>
      </c>
      <c r="E163">
        <v>2.5489783020855001</v>
      </c>
      <c r="F163">
        <v>15.353999999999999</v>
      </c>
      <c r="G163">
        <v>4580084</v>
      </c>
    </row>
    <row r="164" spans="1:7" x14ac:dyDescent="0.3">
      <c r="A164" t="s">
        <v>120</v>
      </c>
      <c r="B164" t="s">
        <v>68</v>
      </c>
      <c r="C164">
        <v>2012</v>
      </c>
      <c r="D164">
        <v>49335.840809955524</v>
      </c>
      <c r="E164">
        <v>1.69474116680366</v>
      </c>
      <c r="F164">
        <v>15.451000000000001</v>
      </c>
      <c r="G164">
        <v>4599533</v>
      </c>
    </row>
    <row r="165" spans="1:7" x14ac:dyDescent="0.3">
      <c r="A165" t="s">
        <v>120</v>
      </c>
      <c r="B165" t="s">
        <v>68</v>
      </c>
      <c r="C165">
        <v>2013</v>
      </c>
      <c r="D165">
        <v>52537.610864869188</v>
      </c>
      <c r="E165">
        <v>0.515099484900573</v>
      </c>
      <c r="F165">
        <v>13.734999999999999</v>
      </c>
      <c r="G165">
        <v>4623816</v>
      </c>
    </row>
    <row r="166" spans="1:7" x14ac:dyDescent="0.3">
      <c r="A166" t="s">
        <v>120</v>
      </c>
      <c r="B166" t="s">
        <v>68</v>
      </c>
      <c r="C166">
        <v>2014</v>
      </c>
      <c r="D166">
        <v>57214.537978570908</v>
      </c>
      <c r="E166">
        <v>0.190916398713744</v>
      </c>
      <c r="F166">
        <v>11.858000000000001</v>
      </c>
      <c r="G166">
        <v>4657740</v>
      </c>
    </row>
    <row r="167" spans="1:7" x14ac:dyDescent="0.3">
      <c r="A167" t="s">
        <v>120</v>
      </c>
      <c r="B167" t="s">
        <v>68</v>
      </c>
      <c r="C167">
        <v>2015</v>
      </c>
      <c r="D167">
        <v>64250.138518125656</v>
      </c>
      <c r="E167">
        <v>-0.330959783371787</v>
      </c>
      <c r="F167">
        <v>9.9079999999999995</v>
      </c>
      <c r="G167">
        <v>4701957</v>
      </c>
    </row>
    <row r="168" spans="1:7" x14ac:dyDescent="0.3">
      <c r="A168" t="s">
        <v>120</v>
      </c>
      <c r="B168" t="s">
        <v>68</v>
      </c>
      <c r="C168">
        <v>2016</v>
      </c>
      <c r="D168">
        <v>64129.557154238319</v>
      </c>
      <c r="E168">
        <v>2.01247735963236E-2</v>
      </c>
      <c r="F168">
        <v>8.3740000000000006</v>
      </c>
      <c r="G168">
        <v>4762722</v>
      </c>
    </row>
    <row r="169" spans="1:7" x14ac:dyDescent="0.3">
      <c r="A169" t="s">
        <v>120</v>
      </c>
      <c r="B169" t="s">
        <v>68</v>
      </c>
      <c r="C169">
        <v>2017</v>
      </c>
      <c r="D169">
        <v>72161.4047531385</v>
      </c>
      <c r="E169">
        <v>0.36217303822937702</v>
      </c>
      <c r="F169">
        <v>6.7130000000000001</v>
      </c>
      <c r="G169">
        <v>4827445</v>
      </c>
    </row>
    <row r="170" spans="1:7" x14ac:dyDescent="0.3">
      <c r="A170" t="s">
        <v>120</v>
      </c>
      <c r="B170" t="s">
        <v>68</v>
      </c>
      <c r="C170">
        <v>2018</v>
      </c>
      <c r="D170">
        <v>80804.112316482628</v>
      </c>
      <c r="E170">
        <v>0.47113071371291498</v>
      </c>
      <c r="F170">
        <v>5.7409999999999997</v>
      </c>
      <c r="G170">
        <v>4898022</v>
      </c>
    </row>
    <row r="171" spans="1:7" x14ac:dyDescent="0.3">
      <c r="A171" t="s">
        <v>120</v>
      </c>
      <c r="B171" t="s">
        <v>68</v>
      </c>
      <c r="C171">
        <v>2019</v>
      </c>
      <c r="D171">
        <v>81827.668887399603</v>
      </c>
      <c r="E171">
        <v>0.93784296118927302</v>
      </c>
      <c r="F171">
        <v>4.95</v>
      </c>
      <c r="G171">
        <v>4976456</v>
      </c>
    </row>
    <row r="172" spans="1:7" x14ac:dyDescent="0.3">
      <c r="A172" t="s">
        <v>120</v>
      </c>
      <c r="B172" t="s">
        <v>68</v>
      </c>
      <c r="C172">
        <v>2020</v>
      </c>
      <c r="D172">
        <v>86514.070610875409</v>
      </c>
      <c r="E172">
        <v>-0.32618365128003202</v>
      </c>
      <c r="F172">
        <v>5.6230000000000002</v>
      </c>
      <c r="G172">
        <v>5039747</v>
      </c>
    </row>
    <row r="173" spans="1:7" x14ac:dyDescent="0.3">
      <c r="A173" t="s">
        <v>120</v>
      </c>
      <c r="B173" t="s">
        <v>68</v>
      </c>
      <c r="C173">
        <v>2021</v>
      </c>
      <c r="D173">
        <v>103783.44628447875</v>
      </c>
      <c r="E173">
        <v>2.3403411344704299</v>
      </c>
      <c r="F173">
        <v>6.3570000000000002</v>
      </c>
      <c r="G173">
        <v>5110585</v>
      </c>
    </row>
    <row r="174" spans="1:7" x14ac:dyDescent="0.3">
      <c r="A174" t="s">
        <v>120</v>
      </c>
      <c r="B174" t="s">
        <v>68</v>
      </c>
      <c r="C174">
        <v>2022</v>
      </c>
      <c r="D174">
        <v>105190.68595273084</v>
      </c>
      <c r="E174">
        <v>7.8294573643410397</v>
      </c>
      <c r="F174">
        <v>4.4649999999999999</v>
      </c>
      <c r="G174">
        <v>5212836</v>
      </c>
    </row>
    <row r="175" spans="1:7" x14ac:dyDescent="0.3">
      <c r="A175" t="s">
        <v>120</v>
      </c>
      <c r="B175" t="s">
        <v>68</v>
      </c>
      <c r="C175">
        <v>2023</v>
      </c>
      <c r="D175">
        <v>106818.91713080389</v>
      </c>
      <c r="E175">
        <v>6.2994248741912404</v>
      </c>
      <c r="F175">
        <v>4.2430000000000003</v>
      </c>
      <c r="G175">
        <v>5311538</v>
      </c>
    </row>
    <row r="176" spans="1:7" x14ac:dyDescent="0.3">
      <c r="A176" t="s">
        <v>120</v>
      </c>
      <c r="B176" t="s">
        <v>68</v>
      </c>
      <c r="C176">
        <v>2024</v>
      </c>
      <c r="D176">
        <v>112894.95324080539</v>
      </c>
      <c r="E176">
        <v>2.1134499957731601</v>
      </c>
      <c r="F176">
        <v>4.3</v>
      </c>
      <c r="G176">
        <v>5395790</v>
      </c>
    </row>
    <row r="177" spans="1:7" x14ac:dyDescent="0.3">
      <c r="A177" t="s">
        <v>4</v>
      </c>
      <c r="B177" t="s">
        <v>106</v>
      </c>
      <c r="C177">
        <v>2000</v>
      </c>
      <c r="D177">
        <v>20190.00356360841</v>
      </c>
      <c r="E177">
        <v>2.5376871362644202</v>
      </c>
      <c r="F177">
        <v>10.834</v>
      </c>
      <c r="G177">
        <v>56942108</v>
      </c>
    </row>
    <row r="178" spans="1:7" x14ac:dyDescent="0.3">
      <c r="A178" t="s">
        <v>4</v>
      </c>
      <c r="B178" t="s">
        <v>106</v>
      </c>
      <c r="C178">
        <v>2001</v>
      </c>
      <c r="D178">
        <v>20570.438591786176</v>
      </c>
      <c r="E178">
        <v>2.7851645190571901</v>
      </c>
      <c r="F178">
        <v>9.5990000000000002</v>
      </c>
      <c r="G178">
        <v>56976981</v>
      </c>
    </row>
    <row r="179" spans="1:7" x14ac:dyDescent="0.3">
      <c r="A179" t="s">
        <v>4</v>
      </c>
      <c r="B179" t="s">
        <v>106</v>
      </c>
      <c r="C179">
        <v>2002</v>
      </c>
      <c r="D179">
        <v>22451.396437936848</v>
      </c>
      <c r="E179">
        <v>2.46532018051998</v>
      </c>
      <c r="F179">
        <v>9.2110000000000003</v>
      </c>
      <c r="G179">
        <v>57089824</v>
      </c>
    </row>
    <row r="180" spans="1:7" x14ac:dyDescent="0.3">
      <c r="A180" t="s">
        <v>4</v>
      </c>
      <c r="B180" t="s">
        <v>106</v>
      </c>
      <c r="C180">
        <v>2003</v>
      </c>
      <c r="D180">
        <v>27577.570031985477</v>
      </c>
      <c r="E180">
        <v>2.6725583851331298</v>
      </c>
      <c r="F180">
        <v>8.8689999999999998</v>
      </c>
      <c r="G180">
        <v>57399184</v>
      </c>
    </row>
    <row r="181" spans="1:7" x14ac:dyDescent="0.3">
      <c r="A181" t="s">
        <v>4</v>
      </c>
      <c r="B181" t="s">
        <v>106</v>
      </c>
      <c r="C181">
        <v>2004</v>
      </c>
      <c r="D181">
        <v>31348.190184144543</v>
      </c>
      <c r="E181">
        <v>2.2067358779244701</v>
      </c>
      <c r="F181">
        <v>7.8659999999999997</v>
      </c>
      <c r="G181">
        <v>57828179</v>
      </c>
    </row>
    <row r="182" spans="1:7" x14ac:dyDescent="0.3">
      <c r="A182" t="s">
        <v>4</v>
      </c>
      <c r="B182" t="s">
        <v>106</v>
      </c>
      <c r="C182">
        <v>2005</v>
      </c>
      <c r="D182">
        <v>32062.723833669032</v>
      </c>
      <c r="E182">
        <v>1.9852951636120499</v>
      </c>
      <c r="F182">
        <v>7.73</v>
      </c>
      <c r="G182">
        <v>58166682</v>
      </c>
    </row>
    <row r="183" spans="1:7" x14ac:dyDescent="0.3">
      <c r="A183" t="s">
        <v>4</v>
      </c>
      <c r="B183" t="s">
        <v>106</v>
      </c>
      <c r="C183">
        <v>2006</v>
      </c>
      <c r="D183">
        <v>33537.128699426947</v>
      </c>
      <c r="E183">
        <v>2.09084154117072</v>
      </c>
      <c r="F183">
        <v>6.7770000000000001</v>
      </c>
      <c r="G183">
        <v>58399861</v>
      </c>
    </row>
    <row r="184" spans="1:7" x14ac:dyDescent="0.3">
      <c r="A184" t="s">
        <v>4</v>
      </c>
      <c r="B184" t="s">
        <v>106</v>
      </c>
      <c r="C184">
        <v>2007</v>
      </c>
      <c r="D184">
        <v>37826.175455482276</v>
      </c>
      <c r="E184">
        <v>1.8297392906679399</v>
      </c>
      <c r="F184">
        <v>6.0759999999999996</v>
      </c>
      <c r="G184">
        <v>58756247</v>
      </c>
    </row>
    <row r="185" spans="1:7" x14ac:dyDescent="0.3">
      <c r="A185" t="s">
        <v>4</v>
      </c>
      <c r="B185" t="s">
        <v>106</v>
      </c>
      <c r="C185">
        <v>2008</v>
      </c>
      <c r="D185">
        <v>40828.579558093719</v>
      </c>
      <c r="E185">
        <v>3.34783416446058</v>
      </c>
      <c r="F185">
        <v>6.7229999999999999</v>
      </c>
      <c r="G185">
        <v>59211181</v>
      </c>
    </row>
    <row r="186" spans="1:7" x14ac:dyDescent="0.3">
      <c r="A186" t="s">
        <v>4</v>
      </c>
      <c r="B186" t="s">
        <v>106</v>
      </c>
      <c r="C186">
        <v>2009</v>
      </c>
      <c r="D186">
        <v>37099.6133958219</v>
      </c>
      <c r="E186">
        <v>0.77476840513046696</v>
      </c>
      <c r="F186">
        <v>7.7489999999999997</v>
      </c>
      <c r="G186">
        <v>59555454</v>
      </c>
    </row>
    <row r="187" spans="1:7" x14ac:dyDescent="0.3">
      <c r="A187" t="s">
        <v>4</v>
      </c>
      <c r="B187" t="s">
        <v>106</v>
      </c>
      <c r="C187">
        <v>2010</v>
      </c>
      <c r="D187">
        <v>35856.862548553916</v>
      </c>
      <c r="E187">
        <v>1.5255152483765599</v>
      </c>
      <c r="F187">
        <v>8.3629999999999995</v>
      </c>
      <c r="G187">
        <v>59819407</v>
      </c>
    </row>
    <row r="188" spans="1:7" x14ac:dyDescent="0.3">
      <c r="A188" t="s">
        <v>4</v>
      </c>
      <c r="B188" t="s">
        <v>106</v>
      </c>
      <c r="C188">
        <v>2011</v>
      </c>
      <c r="D188">
        <v>38432.37428200186</v>
      </c>
      <c r="E188">
        <v>2.7805745844426002</v>
      </c>
      <c r="F188">
        <v>8.359</v>
      </c>
      <c r="G188">
        <v>60026841</v>
      </c>
    </row>
    <row r="189" spans="1:7" x14ac:dyDescent="0.3">
      <c r="A189" t="s">
        <v>4</v>
      </c>
      <c r="B189" t="s">
        <v>106</v>
      </c>
      <c r="C189">
        <v>2012</v>
      </c>
      <c r="D189">
        <v>34854.394944196458</v>
      </c>
      <c r="E189">
        <v>3.0413611208225801</v>
      </c>
      <c r="F189">
        <v>10.654999999999999</v>
      </c>
      <c r="G189">
        <v>60191247</v>
      </c>
    </row>
    <row r="190" spans="1:7" x14ac:dyDescent="0.3">
      <c r="A190" t="s">
        <v>4</v>
      </c>
      <c r="B190" t="s">
        <v>106</v>
      </c>
      <c r="C190">
        <v>2013</v>
      </c>
      <c r="D190">
        <v>35701.674600237551</v>
      </c>
      <c r="E190">
        <v>1.21999478919838</v>
      </c>
      <c r="F190">
        <v>12.148999999999999</v>
      </c>
      <c r="G190">
        <v>60311613</v>
      </c>
    </row>
    <row r="191" spans="1:7" x14ac:dyDescent="0.3">
      <c r="A191" t="s">
        <v>4</v>
      </c>
      <c r="B191" t="s">
        <v>106</v>
      </c>
      <c r="C191">
        <v>2014</v>
      </c>
      <c r="D191">
        <v>36028.349402234882</v>
      </c>
      <c r="E191">
        <v>0.24105662726226501</v>
      </c>
      <c r="F191">
        <v>12.683</v>
      </c>
      <c r="G191">
        <v>60320707</v>
      </c>
    </row>
    <row r="192" spans="1:7" x14ac:dyDescent="0.3">
      <c r="A192" t="s">
        <v>4</v>
      </c>
      <c r="B192" t="s">
        <v>106</v>
      </c>
      <c r="C192">
        <v>2015</v>
      </c>
      <c r="D192">
        <v>30639.882975143213</v>
      </c>
      <c r="E192">
        <v>3.8788054612378303E-2</v>
      </c>
      <c r="F192">
        <v>11.896000000000001</v>
      </c>
      <c r="G192">
        <v>60229605</v>
      </c>
    </row>
    <row r="193" spans="1:7" x14ac:dyDescent="0.3">
      <c r="A193" t="s">
        <v>4</v>
      </c>
      <c r="B193" t="s">
        <v>106</v>
      </c>
      <c r="C193">
        <v>2016</v>
      </c>
      <c r="D193">
        <v>31391.569289810846</v>
      </c>
      <c r="E193">
        <v>-9.4066386793201506E-2</v>
      </c>
      <c r="F193">
        <v>11.688000000000001</v>
      </c>
      <c r="G193">
        <v>60115223</v>
      </c>
    </row>
    <row r="194" spans="1:7" x14ac:dyDescent="0.3">
      <c r="A194" t="s">
        <v>4</v>
      </c>
      <c r="B194" t="s">
        <v>106</v>
      </c>
      <c r="C194">
        <v>2017</v>
      </c>
      <c r="D194">
        <v>32844.115660604024</v>
      </c>
      <c r="E194">
        <v>1.2265288140113499</v>
      </c>
      <c r="F194">
        <v>11.211</v>
      </c>
      <c r="G194">
        <v>60002252</v>
      </c>
    </row>
    <row r="195" spans="1:7" x14ac:dyDescent="0.3">
      <c r="A195" t="s">
        <v>4</v>
      </c>
      <c r="B195" t="s">
        <v>106</v>
      </c>
      <c r="C195">
        <v>2018</v>
      </c>
      <c r="D195">
        <v>35062.336417694889</v>
      </c>
      <c r="E195">
        <v>1.1374858757867501</v>
      </c>
      <c r="F195">
        <v>10.538</v>
      </c>
      <c r="G195">
        <v>59877221</v>
      </c>
    </row>
    <row r="196" spans="1:7" x14ac:dyDescent="0.3">
      <c r="A196" t="s">
        <v>4</v>
      </c>
      <c r="B196" t="s">
        <v>106</v>
      </c>
      <c r="C196">
        <v>2019</v>
      </c>
      <c r="D196">
        <v>33812.788724867976</v>
      </c>
      <c r="E196">
        <v>0.61124944050639796</v>
      </c>
      <c r="F196">
        <v>9.8840000000000003</v>
      </c>
      <c r="G196">
        <v>59729081</v>
      </c>
    </row>
    <row r="197" spans="1:7" x14ac:dyDescent="0.3">
      <c r="A197" t="s">
        <v>4</v>
      </c>
      <c r="B197" t="s">
        <v>106</v>
      </c>
      <c r="C197">
        <v>2020</v>
      </c>
      <c r="D197">
        <v>32091.486662136638</v>
      </c>
      <c r="E197">
        <v>-0.13770725904821601</v>
      </c>
      <c r="F197">
        <v>9.1920000000000002</v>
      </c>
      <c r="G197">
        <v>59438851</v>
      </c>
    </row>
    <row r="198" spans="1:7" x14ac:dyDescent="0.3">
      <c r="A198" t="s">
        <v>4</v>
      </c>
      <c r="B198" t="s">
        <v>106</v>
      </c>
      <c r="C198">
        <v>2021</v>
      </c>
      <c r="D198">
        <v>36852.542541495095</v>
      </c>
      <c r="E198">
        <v>1.87378306224529</v>
      </c>
      <c r="F198">
        <v>9.4969999999999999</v>
      </c>
      <c r="G198">
        <v>59133173</v>
      </c>
    </row>
    <row r="199" spans="1:7" x14ac:dyDescent="0.3">
      <c r="A199" t="s">
        <v>4</v>
      </c>
      <c r="B199" t="s">
        <v>106</v>
      </c>
      <c r="C199">
        <v>2022</v>
      </c>
      <c r="D199">
        <v>35653.904210349501</v>
      </c>
      <c r="E199">
        <v>8.20128981173605</v>
      </c>
      <c r="F199">
        <v>8.0690000000000008</v>
      </c>
      <c r="G199">
        <v>59013667</v>
      </c>
    </row>
    <row r="200" spans="1:7" x14ac:dyDescent="0.3">
      <c r="A200" t="s">
        <v>4</v>
      </c>
      <c r="B200" t="s">
        <v>106</v>
      </c>
      <c r="C200">
        <v>2023</v>
      </c>
      <c r="D200">
        <v>39279.699782164018</v>
      </c>
      <c r="E200">
        <v>5.6221929221645697</v>
      </c>
      <c r="F200">
        <v>7.6269999999999998</v>
      </c>
      <c r="G200">
        <v>58984216</v>
      </c>
    </row>
    <row r="201" spans="1:7" x14ac:dyDescent="0.3">
      <c r="A201" t="s">
        <v>4</v>
      </c>
      <c r="B201" t="s">
        <v>106</v>
      </c>
      <c r="C201">
        <v>2024</v>
      </c>
      <c r="D201">
        <v>40429.622404735237</v>
      </c>
      <c r="E201">
        <v>0.98237511163771896</v>
      </c>
      <c r="F201">
        <v>6.5</v>
      </c>
      <c r="G201">
        <v>58952704</v>
      </c>
    </row>
    <row r="202" spans="1:7" x14ac:dyDescent="0.3">
      <c r="A202" t="s">
        <v>14</v>
      </c>
      <c r="B202" t="s">
        <v>30</v>
      </c>
      <c r="C202">
        <v>2000</v>
      </c>
      <c r="D202">
        <v>39752.93739775502</v>
      </c>
      <c r="E202">
        <v>-0.67657868359517503</v>
      </c>
      <c r="F202">
        <v>4.7480000000000002</v>
      </c>
      <c r="G202">
        <v>126843000</v>
      </c>
    </row>
    <row r="203" spans="1:7" x14ac:dyDescent="0.3">
      <c r="A203" t="s">
        <v>14</v>
      </c>
      <c r="B203" t="s">
        <v>30</v>
      </c>
      <c r="C203">
        <v>2001</v>
      </c>
      <c r="D203">
        <v>34910.166403686977</v>
      </c>
      <c r="E203">
        <v>-0.74005550416273702</v>
      </c>
      <c r="F203">
        <v>5.0199999999999996</v>
      </c>
      <c r="G203">
        <v>127149000</v>
      </c>
    </row>
    <row r="204" spans="1:7" x14ac:dyDescent="0.3">
      <c r="A204" t="s">
        <v>14</v>
      </c>
      <c r="B204" t="s">
        <v>30</v>
      </c>
      <c r="C204">
        <v>2002</v>
      </c>
      <c r="D204">
        <v>33315.916517496204</v>
      </c>
      <c r="E204">
        <v>-0.92349402694231997</v>
      </c>
      <c r="F204">
        <v>5.3860000000000001</v>
      </c>
      <c r="G204">
        <v>127445000</v>
      </c>
    </row>
    <row r="205" spans="1:7" x14ac:dyDescent="0.3">
      <c r="A205" t="s">
        <v>14</v>
      </c>
      <c r="B205" t="s">
        <v>30</v>
      </c>
      <c r="C205">
        <v>2003</v>
      </c>
      <c r="D205">
        <v>35808.681679238784</v>
      </c>
      <c r="E205">
        <v>-0.25654181631602402</v>
      </c>
      <c r="F205">
        <v>5.2510000000000003</v>
      </c>
      <c r="G205">
        <v>127718000</v>
      </c>
    </row>
    <row r="206" spans="1:7" x14ac:dyDescent="0.3">
      <c r="A206" t="s">
        <v>14</v>
      </c>
      <c r="B206" t="s">
        <v>30</v>
      </c>
      <c r="C206">
        <v>2004</v>
      </c>
      <c r="D206">
        <v>38677.570806478747</v>
      </c>
      <c r="E206">
        <v>-8.5733882031027095E-3</v>
      </c>
      <c r="F206">
        <v>4.734</v>
      </c>
      <c r="G206">
        <v>127761000</v>
      </c>
    </row>
    <row r="207" spans="1:7" x14ac:dyDescent="0.3">
      <c r="A207" t="s">
        <v>14</v>
      </c>
      <c r="B207" t="s">
        <v>30</v>
      </c>
      <c r="C207">
        <v>2005</v>
      </c>
      <c r="D207">
        <v>38158.675826396313</v>
      </c>
      <c r="E207">
        <v>-0.28294606876438999</v>
      </c>
      <c r="F207">
        <v>4.4459999999999997</v>
      </c>
      <c r="G207">
        <v>127773000</v>
      </c>
    </row>
    <row r="208" spans="1:7" x14ac:dyDescent="0.3">
      <c r="A208" t="s">
        <v>14</v>
      </c>
      <c r="B208" t="s">
        <v>30</v>
      </c>
      <c r="C208">
        <v>2006</v>
      </c>
      <c r="D208">
        <v>36354.427164634937</v>
      </c>
      <c r="E208">
        <v>0.249355116079084</v>
      </c>
      <c r="F208">
        <v>4.1920000000000002</v>
      </c>
      <c r="G208">
        <v>127854000</v>
      </c>
    </row>
    <row r="209" spans="1:7" x14ac:dyDescent="0.3">
      <c r="A209" t="s">
        <v>14</v>
      </c>
      <c r="B209" t="s">
        <v>30</v>
      </c>
      <c r="C209">
        <v>2007</v>
      </c>
      <c r="D209">
        <v>36129.95351329253</v>
      </c>
      <c r="E209">
        <v>6.0039454498668897E-2</v>
      </c>
      <c r="F209">
        <v>3.8879999999999999</v>
      </c>
      <c r="G209">
        <v>128001000</v>
      </c>
    </row>
    <row r="210" spans="1:7" x14ac:dyDescent="0.3">
      <c r="A210" t="s">
        <v>14</v>
      </c>
      <c r="B210" t="s">
        <v>30</v>
      </c>
      <c r="C210">
        <v>2008</v>
      </c>
      <c r="D210">
        <v>40294.208130970161</v>
      </c>
      <c r="E210">
        <v>1.3800788616491999</v>
      </c>
      <c r="F210">
        <v>4.0019999999999998</v>
      </c>
      <c r="G210">
        <v>128063000</v>
      </c>
    </row>
    <row r="211" spans="1:7" x14ac:dyDescent="0.3">
      <c r="A211" t="s">
        <v>14</v>
      </c>
      <c r="B211" t="s">
        <v>30</v>
      </c>
      <c r="C211">
        <v>2009</v>
      </c>
      <c r="D211">
        <v>41678.178306319511</v>
      </c>
      <c r="E211">
        <v>-1.3528367295171799</v>
      </c>
      <c r="F211">
        <v>5.0679999999999996</v>
      </c>
      <c r="G211">
        <v>128047000</v>
      </c>
    </row>
    <row r="212" spans="1:7" x14ac:dyDescent="0.3">
      <c r="A212" t="s">
        <v>14</v>
      </c>
      <c r="B212" t="s">
        <v>30</v>
      </c>
      <c r="C212">
        <v>2010</v>
      </c>
      <c r="D212">
        <v>45378.137810939865</v>
      </c>
      <c r="E212">
        <v>-0.72824320751777805</v>
      </c>
      <c r="F212">
        <v>5.1020000000000003</v>
      </c>
      <c r="G212">
        <v>128070000</v>
      </c>
    </row>
    <row r="213" spans="1:7" x14ac:dyDescent="0.3">
      <c r="A213" t="s">
        <v>14</v>
      </c>
      <c r="B213" t="s">
        <v>30</v>
      </c>
      <c r="C213">
        <v>2011</v>
      </c>
      <c r="D213">
        <v>49122.077634247042</v>
      </c>
      <c r="E213">
        <v>-0.27245561610123997</v>
      </c>
      <c r="F213">
        <v>4.55</v>
      </c>
      <c r="G213">
        <v>127833000</v>
      </c>
    </row>
    <row r="214" spans="1:7" x14ac:dyDescent="0.3">
      <c r="A214" t="s">
        <v>14</v>
      </c>
      <c r="B214" t="s">
        <v>30</v>
      </c>
      <c r="C214">
        <v>2012</v>
      </c>
      <c r="D214">
        <v>49626.683032757101</v>
      </c>
      <c r="E214">
        <v>-4.4064510443260103E-2</v>
      </c>
      <c r="F214">
        <v>4.3579999999999997</v>
      </c>
      <c r="G214">
        <v>127629000</v>
      </c>
    </row>
    <row r="215" spans="1:7" x14ac:dyDescent="0.3">
      <c r="A215" t="s">
        <v>14</v>
      </c>
      <c r="B215" t="s">
        <v>30</v>
      </c>
      <c r="C215">
        <v>2013</v>
      </c>
      <c r="D215">
        <v>41369.19484794981</v>
      </c>
      <c r="E215">
        <v>0.33503791218474099</v>
      </c>
      <c r="F215">
        <v>4.0380000000000003</v>
      </c>
      <c r="G215">
        <v>127445000</v>
      </c>
    </row>
    <row r="216" spans="1:7" x14ac:dyDescent="0.3">
      <c r="A216" t="s">
        <v>14</v>
      </c>
      <c r="B216" t="s">
        <v>30</v>
      </c>
      <c r="C216">
        <v>2014</v>
      </c>
      <c r="D216">
        <v>39172.847116194796</v>
      </c>
      <c r="E216">
        <v>2.7592267135325299</v>
      </c>
      <c r="F216">
        <v>3.589</v>
      </c>
      <c r="G216">
        <v>127276000</v>
      </c>
    </row>
    <row r="217" spans="1:7" x14ac:dyDescent="0.3">
      <c r="A217" t="s">
        <v>14</v>
      </c>
      <c r="B217" t="s">
        <v>30</v>
      </c>
      <c r="C217">
        <v>2015</v>
      </c>
      <c r="D217">
        <v>35664.644611061267</v>
      </c>
      <c r="E217">
        <v>0.79527963057983897</v>
      </c>
      <c r="F217">
        <v>3.3849999999999998</v>
      </c>
      <c r="G217">
        <v>127141000</v>
      </c>
    </row>
    <row r="218" spans="1:7" x14ac:dyDescent="0.3">
      <c r="A218" t="s">
        <v>14</v>
      </c>
      <c r="B218" t="s">
        <v>30</v>
      </c>
      <c r="C218">
        <v>2016</v>
      </c>
      <c r="D218">
        <v>40214.968863156188</v>
      </c>
      <c r="E218">
        <v>-0.127258844489753</v>
      </c>
      <c r="F218">
        <v>3.1320000000000001</v>
      </c>
      <c r="G218">
        <v>127076000</v>
      </c>
    </row>
    <row r="219" spans="1:7" x14ac:dyDescent="0.3">
      <c r="A219" t="s">
        <v>14</v>
      </c>
      <c r="B219" t="s">
        <v>30</v>
      </c>
      <c r="C219">
        <v>2017</v>
      </c>
      <c r="D219">
        <v>39679.86352629483</v>
      </c>
      <c r="E219">
        <v>0.48419979612638497</v>
      </c>
      <c r="F219">
        <v>2.8220000000000001</v>
      </c>
      <c r="G219">
        <v>126972000</v>
      </c>
    </row>
    <row r="220" spans="1:7" x14ac:dyDescent="0.3">
      <c r="A220" t="s">
        <v>14</v>
      </c>
      <c r="B220" t="s">
        <v>30</v>
      </c>
      <c r="C220">
        <v>2018</v>
      </c>
      <c r="D220">
        <v>40645.47808651896</v>
      </c>
      <c r="E220">
        <v>0.98909459802184796</v>
      </c>
      <c r="F220">
        <v>2.4670000000000001</v>
      </c>
      <c r="G220">
        <v>126811000</v>
      </c>
    </row>
    <row r="221" spans="1:7" x14ac:dyDescent="0.3">
      <c r="A221" t="s">
        <v>14</v>
      </c>
      <c r="B221" t="s">
        <v>30</v>
      </c>
      <c r="C221">
        <v>2019</v>
      </c>
      <c r="D221">
        <v>41424.865560154343</v>
      </c>
      <c r="E221">
        <v>0.46877615938394901</v>
      </c>
      <c r="F221">
        <v>2.351</v>
      </c>
      <c r="G221">
        <v>126633000</v>
      </c>
    </row>
    <row r="222" spans="1:7" x14ac:dyDescent="0.3">
      <c r="A222" t="s">
        <v>14</v>
      </c>
      <c r="B222" t="s">
        <v>30</v>
      </c>
      <c r="C222">
        <v>2020</v>
      </c>
      <c r="D222">
        <v>41098.973900455276</v>
      </c>
      <c r="E222">
        <v>-2.4995834027731E-2</v>
      </c>
      <c r="F222">
        <v>2.8090000000000002</v>
      </c>
      <c r="G222">
        <v>126261000</v>
      </c>
    </row>
    <row r="223" spans="1:7" x14ac:dyDescent="0.3">
      <c r="A223" t="s">
        <v>14</v>
      </c>
      <c r="B223" t="s">
        <v>30</v>
      </c>
      <c r="C223">
        <v>2021</v>
      </c>
      <c r="D223">
        <v>41580.739040705004</v>
      </c>
      <c r="E223">
        <v>-0.23335277939826299</v>
      </c>
      <c r="F223">
        <v>2.8079999999999998</v>
      </c>
      <c r="G223">
        <v>125681593</v>
      </c>
    </row>
    <row r="224" spans="1:7" x14ac:dyDescent="0.3">
      <c r="A224" t="s">
        <v>14</v>
      </c>
      <c r="B224" t="s">
        <v>30</v>
      </c>
      <c r="C224">
        <v>2022</v>
      </c>
      <c r="D224">
        <v>35548.264522243298</v>
      </c>
      <c r="E224">
        <v>2.4977027817225399</v>
      </c>
      <c r="F224">
        <v>2.6139999999999999</v>
      </c>
      <c r="G224">
        <v>125124989</v>
      </c>
    </row>
    <row r="225" spans="1:7" x14ac:dyDescent="0.3">
      <c r="A225" t="s">
        <v>14</v>
      </c>
      <c r="B225" t="s">
        <v>30</v>
      </c>
      <c r="C225">
        <v>2023</v>
      </c>
      <c r="D225">
        <v>35215.003535365977</v>
      </c>
      <c r="E225">
        <v>3.2681336593316299</v>
      </c>
      <c r="F225">
        <v>2.6</v>
      </c>
      <c r="G225">
        <v>124516650</v>
      </c>
    </row>
    <row r="226" spans="1:7" x14ac:dyDescent="0.3">
      <c r="A226" t="s">
        <v>14</v>
      </c>
      <c r="B226" t="s">
        <v>30</v>
      </c>
      <c r="C226">
        <v>2024</v>
      </c>
      <c r="D226">
        <v>33797.10142878761</v>
      </c>
      <c r="E226">
        <v>2.7385368163524002</v>
      </c>
      <c r="F226">
        <v>2.5</v>
      </c>
      <c r="G226">
        <v>123975371</v>
      </c>
    </row>
    <row r="227" spans="1:7" x14ac:dyDescent="0.3">
      <c r="A227" t="s">
        <v>103</v>
      </c>
      <c r="B227" t="s">
        <v>54</v>
      </c>
      <c r="C227">
        <v>2000</v>
      </c>
      <c r="D227">
        <v>26225.16977341492</v>
      </c>
      <c r="E227">
        <v>2.3605242578350598</v>
      </c>
      <c r="F227">
        <v>2.7250000000000001</v>
      </c>
      <c r="G227">
        <v>15925513</v>
      </c>
    </row>
    <row r="228" spans="1:7" x14ac:dyDescent="0.3">
      <c r="A228" t="s">
        <v>103</v>
      </c>
      <c r="B228" t="s">
        <v>54</v>
      </c>
      <c r="C228">
        <v>2001</v>
      </c>
      <c r="D228">
        <v>26955.71280322782</v>
      </c>
      <c r="E228">
        <v>4.15583998647742</v>
      </c>
      <c r="F228">
        <v>2.1190000000000002</v>
      </c>
      <c r="G228">
        <v>16046180</v>
      </c>
    </row>
    <row r="229" spans="1:7" x14ac:dyDescent="0.3">
      <c r="A229" t="s">
        <v>103</v>
      </c>
      <c r="B229" t="s">
        <v>54</v>
      </c>
      <c r="C229">
        <v>2002</v>
      </c>
      <c r="D229">
        <v>29446.53308728684</v>
      </c>
      <c r="E229">
        <v>3.2875354185016201</v>
      </c>
      <c r="F229">
        <v>2.5539999999999998</v>
      </c>
      <c r="G229">
        <v>16148929</v>
      </c>
    </row>
    <row r="230" spans="1:7" x14ac:dyDescent="0.3">
      <c r="A230" t="s">
        <v>103</v>
      </c>
      <c r="B230" t="s">
        <v>54</v>
      </c>
      <c r="C230">
        <v>2003</v>
      </c>
      <c r="D230">
        <v>35896.750463070552</v>
      </c>
      <c r="E230">
        <v>2.0919945670734901</v>
      </c>
      <c r="F230">
        <v>3.593</v>
      </c>
      <c r="G230">
        <v>16225302</v>
      </c>
    </row>
    <row r="231" spans="1:7" x14ac:dyDescent="0.3">
      <c r="A231" t="s">
        <v>103</v>
      </c>
      <c r="B231" t="s">
        <v>54</v>
      </c>
      <c r="C231">
        <v>2004</v>
      </c>
      <c r="D231">
        <v>40611.341435309063</v>
      </c>
      <c r="E231">
        <v>1.2636479497031301</v>
      </c>
      <c r="F231">
        <v>4.6459999999999999</v>
      </c>
      <c r="G231">
        <v>16281779</v>
      </c>
    </row>
    <row r="232" spans="1:7" x14ac:dyDescent="0.3">
      <c r="A232" t="s">
        <v>103</v>
      </c>
      <c r="B232" t="s">
        <v>54</v>
      </c>
      <c r="C232">
        <v>2005</v>
      </c>
      <c r="D232">
        <v>42165.396168387968</v>
      </c>
      <c r="E232">
        <v>1.6881313636312101</v>
      </c>
      <c r="F232">
        <v>5.8719999999999999</v>
      </c>
      <c r="G232">
        <v>16319868</v>
      </c>
    </row>
    <row r="233" spans="1:7" x14ac:dyDescent="0.3">
      <c r="A233" t="s">
        <v>103</v>
      </c>
      <c r="B233" t="s">
        <v>54</v>
      </c>
      <c r="C233">
        <v>2006</v>
      </c>
      <c r="D233">
        <v>45123.543240642568</v>
      </c>
      <c r="E233">
        <v>1.10150138046139</v>
      </c>
      <c r="F233">
        <v>5.0069999999999997</v>
      </c>
      <c r="G233">
        <v>16346101</v>
      </c>
    </row>
    <row r="234" spans="1:7" x14ac:dyDescent="0.3">
      <c r="A234" t="s">
        <v>103</v>
      </c>
      <c r="B234" t="s">
        <v>54</v>
      </c>
      <c r="C234">
        <v>2007</v>
      </c>
      <c r="D234">
        <v>52100.79962859473</v>
      </c>
      <c r="E234">
        <v>1.6138561707203101</v>
      </c>
      <c r="F234">
        <v>4.1529999999999996</v>
      </c>
      <c r="G234">
        <v>16381696</v>
      </c>
    </row>
    <row r="235" spans="1:7" x14ac:dyDescent="0.3">
      <c r="A235" t="s">
        <v>103</v>
      </c>
      <c r="B235" t="s">
        <v>54</v>
      </c>
      <c r="C235">
        <v>2008</v>
      </c>
      <c r="D235">
        <v>58246.702690587445</v>
      </c>
      <c r="E235">
        <v>2.48650272563403</v>
      </c>
      <c r="F235">
        <v>3.6579999999999999</v>
      </c>
      <c r="G235">
        <v>16445593</v>
      </c>
    </row>
    <row r="236" spans="1:7" x14ac:dyDescent="0.3">
      <c r="A236" t="s">
        <v>103</v>
      </c>
      <c r="B236" t="s">
        <v>54</v>
      </c>
      <c r="C236">
        <v>2009</v>
      </c>
      <c r="D236">
        <v>53172.026158141831</v>
      </c>
      <c r="E236">
        <v>1.1897753827351001</v>
      </c>
      <c r="F236">
        <v>4.3520000000000003</v>
      </c>
      <c r="G236">
        <v>16530388</v>
      </c>
    </row>
    <row r="237" spans="1:7" x14ac:dyDescent="0.3">
      <c r="A237" t="s">
        <v>103</v>
      </c>
      <c r="B237" t="s">
        <v>54</v>
      </c>
      <c r="C237">
        <v>2010</v>
      </c>
      <c r="D237">
        <v>51305.733853397338</v>
      </c>
      <c r="E237">
        <v>1.2745772741866299</v>
      </c>
      <c r="F237">
        <v>4.9909999999999997</v>
      </c>
      <c r="G237">
        <v>16615394</v>
      </c>
    </row>
    <row r="238" spans="1:7" x14ac:dyDescent="0.3">
      <c r="A238" t="s">
        <v>103</v>
      </c>
      <c r="B238" t="s">
        <v>54</v>
      </c>
      <c r="C238">
        <v>2011</v>
      </c>
      <c r="D238">
        <v>54701.772803061118</v>
      </c>
      <c r="E238">
        <v>2.3420865862313298</v>
      </c>
      <c r="F238">
        <v>4.9770000000000003</v>
      </c>
      <c r="G238">
        <v>16693074</v>
      </c>
    </row>
    <row r="239" spans="1:7" x14ac:dyDescent="0.3">
      <c r="A239" t="s">
        <v>103</v>
      </c>
      <c r="B239" t="s">
        <v>54</v>
      </c>
      <c r="C239">
        <v>2012</v>
      </c>
      <c r="D239">
        <v>50473.944200268867</v>
      </c>
      <c r="E239">
        <v>2.4558802429575799</v>
      </c>
      <c r="F239">
        <v>5.8209999999999997</v>
      </c>
      <c r="G239">
        <v>16754962</v>
      </c>
    </row>
    <row r="240" spans="1:7" x14ac:dyDescent="0.3">
      <c r="A240" t="s">
        <v>103</v>
      </c>
      <c r="B240" t="s">
        <v>54</v>
      </c>
      <c r="C240">
        <v>2013</v>
      </c>
      <c r="D240">
        <v>52602.286052076568</v>
      </c>
      <c r="E240">
        <v>2.5113782238300901</v>
      </c>
      <c r="F240">
        <v>7.2409999999999997</v>
      </c>
      <c r="G240">
        <v>16804432</v>
      </c>
    </row>
    <row r="241" spans="1:7" x14ac:dyDescent="0.3">
      <c r="A241" t="s">
        <v>103</v>
      </c>
      <c r="B241" t="s">
        <v>54</v>
      </c>
      <c r="C241">
        <v>2014</v>
      </c>
      <c r="D241">
        <v>53457.223486432231</v>
      </c>
      <c r="E241">
        <v>0.97106167892349704</v>
      </c>
      <c r="F241">
        <v>7.4189999999999996</v>
      </c>
      <c r="G241">
        <v>16865008</v>
      </c>
    </row>
    <row r="242" spans="1:7" x14ac:dyDescent="0.3">
      <c r="A242" t="s">
        <v>103</v>
      </c>
      <c r="B242" t="s">
        <v>54</v>
      </c>
      <c r="C242">
        <v>2015</v>
      </c>
      <c r="D242">
        <v>45793.813543469711</v>
      </c>
      <c r="E242">
        <v>0.60093579119456897</v>
      </c>
      <c r="F242">
        <v>6.8719999999999999</v>
      </c>
      <c r="G242">
        <v>16939923</v>
      </c>
    </row>
    <row r="243" spans="1:7" x14ac:dyDescent="0.3">
      <c r="A243" t="s">
        <v>103</v>
      </c>
      <c r="B243" t="s">
        <v>54</v>
      </c>
      <c r="C243">
        <v>2016</v>
      </c>
      <c r="D243">
        <v>46808.529149250287</v>
      </c>
      <c r="E243">
        <v>0.319406464338503</v>
      </c>
      <c r="F243">
        <v>6.0069999999999997</v>
      </c>
      <c r="G243">
        <v>17030314</v>
      </c>
    </row>
    <row r="244" spans="1:7" x14ac:dyDescent="0.3">
      <c r="A244" t="s">
        <v>103</v>
      </c>
      <c r="B244" t="s">
        <v>54</v>
      </c>
      <c r="C244">
        <v>2017</v>
      </c>
      <c r="D244">
        <v>49513.681734638398</v>
      </c>
      <c r="E244">
        <v>1.3796878665669401</v>
      </c>
      <c r="F244">
        <v>4.8369999999999997</v>
      </c>
      <c r="G244">
        <v>17131296</v>
      </c>
    </row>
    <row r="245" spans="1:7" x14ac:dyDescent="0.3">
      <c r="A245" t="s">
        <v>103</v>
      </c>
      <c r="B245" t="s">
        <v>54</v>
      </c>
      <c r="C245">
        <v>2018</v>
      </c>
      <c r="D245">
        <v>53955.077002426588</v>
      </c>
      <c r="E245">
        <v>1.7036188125357901</v>
      </c>
      <c r="F245">
        <v>3.8319999999999999</v>
      </c>
      <c r="G245">
        <v>17231624</v>
      </c>
    </row>
    <row r="246" spans="1:7" x14ac:dyDescent="0.3">
      <c r="A246" t="s">
        <v>103</v>
      </c>
      <c r="B246" t="s">
        <v>54</v>
      </c>
      <c r="C246">
        <v>2019</v>
      </c>
      <c r="D246">
        <v>53554.900749147506</v>
      </c>
      <c r="E246">
        <v>2.6339740394825402</v>
      </c>
      <c r="F246">
        <v>3.379</v>
      </c>
      <c r="G246">
        <v>17344874</v>
      </c>
    </row>
    <row r="247" spans="1:7" x14ac:dyDescent="0.3">
      <c r="A247" t="s">
        <v>103</v>
      </c>
      <c r="B247" t="s">
        <v>54</v>
      </c>
      <c r="C247">
        <v>2020</v>
      </c>
      <c r="D247">
        <v>53467.927741373729</v>
      </c>
      <c r="E247">
        <v>1.26788070731057</v>
      </c>
      <c r="F247">
        <v>3.82</v>
      </c>
      <c r="G247">
        <v>17441500</v>
      </c>
    </row>
    <row r="248" spans="1:7" x14ac:dyDescent="0.3">
      <c r="A248" t="s">
        <v>103</v>
      </c>
      <c r="B248" t="s">
        <v>54</v>
      </c>
      <c r="C248">
        <v>2021</v>
      </c>
      <c r="D248">
        <v>60141.988091149229</v>
      </c>
      <c r="E248">
        <v>2.68123345078501</v>
      </c>
      <c r="F248">
        <v>4.2089999999999996</v>
      </c>
      <c r="G248">
        <v>17533044</v>
      </c>
    </row>
    <row r="249" spans="1:7" x14ac:dyDescent="0.3">
      <c r="A249" t="s">
        <v>103</v>
      </c>
      <c r="B249" t="s">
        <v>54</v>
      </c>
      <c r="C249">
        <v>2022</v>
      </c>
      <c r="D249">
        <v>59123.318556486993</v>
      </c>
      <c r="E249">
        <v>9.9981725517268707</v>
      </c>
      <c r="F249">
        <v>3.5259999999999998</v>
      </c>
      <c r="G249">
        <v>17700982</v>
      </c>
    </row>
    <row r="250" spans="1:7" x14ac:dyDescent="0.3">
      <c r="A250" t="s">
        <v>103</v>
      </c>
      <c r="B250" t="s">
        <v>54</v>
      </c>
      <c r="C250">
        <v>2023</v>
      </c>
      <c r="D250">
        <v>63515.603078001921</v>
      </c>
      <c r="E250">
        <v>3.8423199748953198</v>
      </c>
      <c r="F250">
        <v>3.5350000000000001</v>
      </c>
      <c r="G250">
        <v>17877117</v>
      </c>
    </row>
    <row r="251" spans="1:7" x14ac:dyDescent="0.3">
      <c r="A251" t="s">
        <v>103</v>
      </c>
      <c r="B251" t="s">
        <v>54</v>
      </c>
      <c r="C251">
        <v>2024</v>
      </c>
      <c r="D251">
        <v>67465.32081268754</v>
      </c>
      <c r="E251">
        <v>3.3463989547502502</v>
      </c>
      <c r="F251">
        <v>3.7</v>
      </c>
      <c r="G251">
        <v>17993485</v>
      </c>
    </row>
    <row r="252" spans="1:7" x14ac:dyDescent="0.3">
      <c r="A252" t="s">
        <v>5</v>
      </c>
      <c r="B252" t="s">
        <v>121</v>
      </c>
      <c r="C252">
        <v>2000</v>
      </c>
      <c r="D252">
        <v>1771.59411621094</v>
      </c>
      <c r="E252">
        <v>20.798760655870399</v>
      </c>
      <c r="F252">
        <v>10.581</v>
      </c>
      <c r="G252">
        <v>146596869</v>
      </c>
    </row>
    <row r="253" spans="1:7" x14ac:dyDescent="0.3">
      <c r="A253" t="s">
        <v>5</v>
      </c>
      <c r="B253" t="s">
        <v>121</v>
      </c>
      <c r="C253">
        <v>2001</v>
      </c>
      <c r="D253">
        <v>2100.3525390625</v>
      </c>
      <c r="E253">
        <v>21.477007211715801</v>
      </c>
      <c r="F253">
        <v>8.9779999999999998</v>
      </c>
      <c r="G253">
        <v>145976482</v>
      </c>
    </row>
    <row r="254" spans="1:7" x14ac:dyDescent="0.3">
      <c r="A254" t="s">
        <v>5</v>
      </c>
      <c r="B254" t="s">
        <v>121</v>
      </c>
      <c r="C254">
        <v>2002</v>
      </c>
      <c r="D254">
        <v>2377.52954101563</v>
      </c>
      <c r="E254">
        <v>15.7887307914462</v>
      </c>
      <c r="F254">
        <v>7.875</v>
      </c>
      <c r="G254">
        <v>145306497</v>
      </c>
    </row>
    <row r="255" spans="1:7" x14ac:dyDescent="0.3">
      <c r="A255" t="s">
        <v>5</v>
      </c>
      <c r="B255" t="s">
        <v>121</v>
      </c>
      <c r="C255">
        <v>2003</v>
      </c>
      <c r="D255">
        <v>2975.123046875</v>
      </c>
      <c r="E255">
        <v>13.663293022866499</v>
      </c>
      <c r="F255">
        <v>8.2100000000000009</v>
      </c>
      <c r="G255">
        <v>144648618</v>
      </c>
    </row>
    <row r="256" spans="1:7" x14ac:dyDescent="0.3">
      <c r="A256" t="s">
        <v>5</v>
      </c>
      <c r="B256" t="s">
        <v>121</v>
      </c>
      <c r="C256">
        <v>2004</v>
      </c>
      <c r="D256">
        <v>4102.36474609375</v>
      </c>
      <c r="E256">
        <v>10.888615732621499</v>
      </c>
      <c r="F256">
        <v>7.7629999999999999</v>
      </c>
      <c r="G256">
        <v>144067316</v>
      </c>
    </row>
    <row r="257" spans="1:7" x14ac:dyDescent="0.3">
      <c r="A257" t="s">
        <v>5</v>
      </c>
      <c r="B257" t="s">
        <v>121</v>
      </c>
      <c r="C257">
        <v>2005</v>
      </c>
      <c r="D257">
        <v>5323.455078125</v>
      </c>
      <c r="E257">
        <v>12.6853039507349</v>
      </c>
      <c r="F257">
        <v>7.1239999999999997</v>
      </c>
      <c r="G257">
        <v>143518814</v>
      </c>
    </row>
    <row r="258" spans="1:7" x14ac:dyDescent="0.3">
      <c r="A258" t="s">
        <v>5</v>
      </c>
      <c r="B258" t="s">
        <v>121</v>
      </c>
      <c r="C258">
        <v>2006</v>
      </c>
      <c r="D258">
        <v>6920.19970703125</v>
      </c>
      <c r="E258">
        <v>9.6686545478926398</v>
      </c>
      <c r="F258">
        <v>7.0549999999999997</v>
      </c>
      <c r="G258">
        <v>143049637</v>
      </c>
    </row>
    <row r="259" spans="1:7" x14ac:dyDescent="0.3">
      <c r="A259" t="s">
        <v>5</v>
      </c>
      <c r="B259" t="s">
        <v>121</v>
      </c>
      <c r="C259">
        <v>2007</v>
      </c>
      <c r="D259">
        <v>9101.2392578125</v>
      </c>
      <c r="E259">
        <v>9.0072986886107902</v>
      </c>
      <c r="F259">
        <v>6.0019999999999998</v>
      </c>
      <c r="G259">
        <v>142805114</v>
      </c>
    </row>
    <row r="260" spans="1:7" x14ac:dyDescent="0.3">
      <c r="A260" t="s">
        <v>5</v>
      </c>
      <c r="B260" t="s">
        <v>121</v>
      </c>
      <c r="C260">
        <v>2008</v>
      </c>
      <c r="D260">
        <v>11635.2841796875</v>
      </c>
      <c r="E260">
        <v>14.110767784044199</v>
      </c>
      <c r="F260">
        <v>6.2050000000000001</v>
      </c>
      <c r="G260">
        <v>142742366</v>
      </c>
    </row>
    <row r="261" spans="1:7" x14ac:dyDescent="0.3">
      <c r="A261" t="s">
        <v>5</v>
      </c>
      <c r="B261" t="s">
        <v>121</v>
      </c>
      <c r="C261">
        <v>2009</v>
      </c>
      <c r="D261">
        <v>8562.82421875</v>
      </c>
      <c r="E261">
        <v>11.6473295764117</v>
      </c>
      <c r="F261">
        <v>8.3010000000000002</v>
      </c>
      <c r="G261">
        <v>142785348</v>
      </c>
    </row>
    <row r="262" spans="1:7" x14ac:dyDescent="0.3">
      <c r="A262" t="s">
        <v>5</v>
      </c>
      <c r="B262" t="s">
        <v>121</v>
      </c>
      <c r="C262">
        <v>2010</v>
      </c>
      <c r="D262">
        <v>10674.990234375</v>
      </c>
      <c r="E262">
        <v>6.8493923025502399</v>
      </c>
      <c r="F262">
        <v>7.407</v>
      </c>
      <c r="G262">
        <v>142849468</v>
      </c>
    </row>
    <row r="263" spans="1:7" x14ac:dyDescent="0.3">
      <c r="A263" t="s">
        <v>5</v>
      </c>
      <c r="B263" t="s">
        <v>121</v>
      </c>
      <c r="C263">
        <v>2011</v>
      </c>
      <c r="D263">
        <v>14305.33203125</v>
      </c>
      <c r="E263">
        <v>8.4404648593257008</v>
      </c>
      <c r="F263">
        <v>6.5709999999999997</v>
      </c>
      <c r="G263">
        <v>143018195</v>
      </c>
    </row>
    <row r="264" spans="1:7" x14ac:dyDescent="0.3">
      <c r="A264" t="s">
        <v>5</v>
      </c>
      <c r="B264" t="s">
        <v>121</v>
      </c>
      <c r="C264">
        <v>2012</v>
      </c>
      <c r="D264">
        <v>15401.8515625</v>
      </c>
      <c r="E264">
        <v>5.0747430079914899</v>
      </c>
      <c r="F264">
        <v>5.484</v>
      </c>
      <c r="G264">
        <v>143378447</v>
      </c>
    </row>
    <row r="265" spans="1:7" x14ac:dyDescent="0.3">
      <c r="A265" t="s">
        <v>5</v>
      </c>
      <c r="B265" t="s">
        <v>121</v>
      </c>
      <c r="C265">
        <v>2013</v>
      </c>
      <c r="D265">
        <v>15941.4482421875</v>
      </c>
      <c r="E265">
        <v>6.7546683390348603</v>
      </c>
      <c r="F265">
        <v>5.5129999999999999</v>
      </c>
      <c r="G265">
        <v>143805638</v>
      </c>
    </row>
    <row r="266" spans="1:7" x14ac:dyDescent="0.3">
      <c r="A266" t="s">
        <v>5</v>
      </c>
      <c r="B266" t="s">
        <v>121</v>
      </c>
      <c r="C266">
        <v>2014</v>
      </c>
      <c r="D266">
        <v>14055.47265625</v>
      </c>
      <c r="E266">
        <v>7.8201697001384396</v>
      </c>
      <c r="F266">
        <v>5.2119999999999997</v>
      </c>
      <c r="G266">
        <v>144237223</v>
      </c>
    </row>
    <row r="267" spans="1:7" x14ac:dyDescent="0.3">
      <c r="A267" t="s">
        <v>5</v>
      </c>
      <c r="B267" t="s">
        <v>121</v>
      </c>
      <c r="C267">
        <v>2015</v>
      </c>
      <c r="D267">
        <v>9277.7138671875</v>
      </c>
      <c r="E267">
        <v>15.534395993570101</v>
      </c>
      <c r="F267">
        <v>5.6150000000000002</v>
      </c>
      <c r="G267">
        <v>144640716</v>
      </c>
    </row>
    <row r="268" spans="1:7" x14ac:dyDescent="0.3">
      <c r="A268" t="s">
        <v>5</v>
      </c>
      <c r="B268" t="s">
        <v>121</v>
      </c>
      <c r="C268">
        <v>2016</v>
      </c>
      <c r="D268">
        <v>8663.158203125</v>
      </c>
      <c r="E268">
        <v>7.0424372541370701</v>
      </c>
      <c r="F268">
        <v>5.5910000000000002</v>
      </c>
      <c r="G268">
        <v>145015460</v>
      </c>
    </row>
    <row r="269" spans="1:7" x14ac:dyDescent="0.3">
      <c r="A269" t="s">
        <v>5</v>
      </c>
      <c r="B269" t="s">
        <v>121</v>
      </c>
      <c r="C269">
        <v>2017</v>
      </c>
      <c r="D269">
        <v>10658.9130859375</v>
      </c>
      <c r="E269">
        <v>3.6833307233449499</v>
      </c>
      <c r="F269">
        <v>5.2380000000000004</v>
      </c>
      <c r="G269">
        <v>145293260</v>
      </c>
    </row>
    <row r="270" spans="1:7" x14ac:dyDescent="0.3">
      <c r="A270" t="s">
        <v>5</v>
      </c>
      <c r="B270" t="s">
        <v>121</v>
      </c>
      <c r="C270">
        <v>2018</v>
      </c>
      <c r="D270">
        <v>11211.8876953125</v>
      </c>
      <c r="E270">
        <v>2.8783138261498</v>
      </c>
      <c r="F270">
        <v>4.8710000000000004</v>
      </c>
      <c r="G270">
        <v>145398106</v>
      </c>
    </row>
    <row r="271" spans="1:7" x14ac:dyDescent="0.3">
      <c r="A271" t="s">
        <v>5</v>
      </c>
      <c r="B271" t="s">
        <v>121</v>
      </c>
      <c r="C271">
        <v>2019</v>
      </c>
      <c r="D271">
        <v>11447.701171875</v>
      </c>
      <c r="E271">
        <v>4.4720263183790303</v>
      </c>
      <c r="F271">
        <v>4.5129999999999999</v>
      </c>
      <c r="G271">
        <v>145453291</v>
      </c>
    </row>
    <row r="272" spans="1:7" x14ac:dyDescent="0.3">
      <c r="A272" t="s">
        <v>5</v>
      </c>
      <c r="B272" t="s">
        <v>121</v>
      </c>
      <c r="C272">
        <v>2020</v>
      </c>
      <c r="D272">
        <v>10108.3271484375</v>
      </c>
      <c r="E272">
        <v>3.3821979694806701</v>
      </c>
      <c r="F272">
        <v>5.62</v>
      </c>
      <c r="G272">
        <v>145245148</v>
      </c>
    </row>
    <row r="273" spans="1:7" x14ac:dyDescent="0.3">
      <c r="A273" t="s">
        <v>5</v>
      </c>
      <c r="B273" t="s">
        <v>121</v>
      </c>
      <c r="C273">
        <v>2021</v>
      </c>
      <c r="D273">
        <v>12425.029296875</v>
      </c>
      <c r="E273">
        <v>6.6944589195761202</v>
      </c>
      <c r="F273">
        <v>4.7489999999999997</v>
      </c>
      <c r="G273">
        <v>144746762</v>
      </c>
    </row>
    <row r="274" spans="1:7" x14ac:dyDescent="0.3">
      <c r="A274" t="s">
        <v>5</v>
      </c>
      <c r="B274" t="s">
        <v>121</v>
      </c>
      <c r="C274">
        <v>2022</v>
      </c>
      <c r="D274">
        <v>15625.6328125</v>
      </c>
      <c r="E274">
        <v>13.743679739823101</v>
      </c>
      <c r="F274">
        <v>3.867</v>
      </c>
      <c r="G274">
        <v>144236933</v>
      </c>
    </row>
    <row r="275" spans="1:7" x14ac:dyDescent="0.3">
      <c r="A275" t="s">
        <v>5</v>
      </c>
      <c r="B275" t="s">
        <v>121</v>
      </c>
      <c r="C275">
        <v>2023</v>
      </c>
      <c r="D275">
        <v>13986.9951171875</v>
      </c>
      <c r="E275">
        <v>5.8657193174896696</v>
      </c>
      <c r="F275">
        <v>3.0760000000000001</v>
      </c>
      <c r="G275">
        <v>143826130</v>
      </c>
    </row>
    <row r="276" spans="1:7" x14ac:dyDescent="0.3">
      <c r="A276" t="s">
        <v>5</v>
      </c>
      <c r="B276" t="s">
        <v>121</v>
      </c>
      <c r="C276">
        <v>2024</v>
      </c>
      <c r="D276">
        <v>14961.8974609375</v>
      </c>
      <c r="E276">
        <v>8.4348641049672306</v>
      </c>
      <c r="F276">
        <v>2.4300000000000002</v>
      </c>
      <c r="G276">
        <v>143669648</v>
      </c>
    </row>
    <row r="277" spans="1:7" x14ac:dyDescent="0.3">
      <c r="A277" t="s">
        <v>38</v>
      </c>
      <c r="B277" t="s">
        <v>84</v>
      </c>
      <c r="C277">
        <v>2000</v>
      </c>
      <c r="D277">
        <v>3217.8469344846712</v>
      </c>
      <c r="E277">
        <v>5.3389591359982704</v>
      </c>
      <c r="F277">
        <v>22.788</v>
      </c>
      <c r="G277">
        <v>47159719</v>
      </c>
    </row>
    <row r="278" spans="1:7" x14ac:dyDescent="0.3">
      <c r="A278" t="s">
        <v>38</v>
      </c>
      <c r="B278" t="s">
        <v>84</v>
      </c>
      <c r="C278">
        <v>2001</v>
      </c>
      <c r="D278">
        <v>2847.1519194590805</v>
      </c>
      <c r="E278">
        <v>5.7018948304960801</v>
      </c>
      <c r="F278">
        <v>22.652000000000001</v>
      </c>
      <c r="G278">
        <v>47566800</v>
      </c>
    </row>
    <row r="279" spans="1:7" x14ac:dyDescent="0.3">
      <c r="A279" t="s">
        <v>38</v>
      </c>
      <c r="B279" t="s">
        <v>84</v>
      </c>
      <c r="C279">
        <v>2002</v>
      </c>
      <c r="D279">
        <v>2688.2367603280636</v>
      </c>
      <c r="E279">
        <v>9.4947137809959994</v>
      </c>
      <c r="F279">
        <v>22.579000000000001</v>
      </c>
      <c r="G279">
        <v>48019415</v>
      </c>
    </row>
    <row r="280" spans="1:7" x14ac:dyDescent="0.3">
      <c r="A280" t="s">
        <v>38</v>
      </c>
      <c r="B280" t="s">
        <v>84</v>
      </c>
      <c r="C280">
        <v>2003</v>
      </c>
      <c r="D280">
        <v>4062.2175599378579</v>
      </c>
      <c r="E280">
        <v>5.6794241406879902</v>
      </c>
      <c r="F280">
        <v>22.678999999999998</v>
      </c>
      <c r="G280">
        <v>48500348</v>
      </c>
    </row>
    <row r="281" spans="1:7" x14ac:dyDescent="0.3">
      <c r="A281" t="s">
        <v>38</v>
      </c>
      <c r="B281" t="s">
        <v>84</v>
      </c>
      <c r="C281">
        <v>2004</v>
      </c>
      <c r="D281">
        <v>5221.4633373172119</v>
      </c>
      <c r="E281">
        <v>-0.69203943785768596</v>
      </c>
      <c r="F281">
        <v>22.567</v>
      </c>
      <c r="G281">
        <v>48991421</v>
      </c>
    </row>
    <row r="282" spans="1:7" x14ac:dyDescent="0.3">
      <c r="A282" t="s">
        <v>38</v>
      </c>
      <c r="B282" t="s">
        <v>84</v>
      </c>
      <c r="C282">
        <v>2005</v>
      </c>
      <c r="D282">
        <v>5836.876633251265</v>
      </c>
      <c r="E282">
        <v>2.0628530822342701</v>
      </c>
      <c r="F282">
        <v>22.472000000000001</v>
      </c>
      <c r="G282">
        <v>49490033</v>
      </c>
    </row>
    <row r="283" spans="1:7" x14ac:dyDescent="0.3">
      <c r="A283" t="s">
        <v>38</v>
      </c>
      <c r="B283" t="s">
        <v>84</v>
      </c>
      <c r="C283">
        <v>2006</v>
      </c>
      <c r="D283">
        <v>6077.3829338887572</v>
      </c>
      <c r="E283">
        <v>3.2439076541922902</v>
      </c>
      <c r="F283">
        <v>22.303999999999998</v>
      </c>
      <c r="G283">
        <v>49998277</v>
      </c>
    </row>
    <row r="284" spans="1:7" x14ac:dyDescent="0.3">
      <c r="A284" t="s">
        <v>38</v>
      </c>
      <c r="B284" t="s">
        <v>84</v>
      </c>
      <c r="C284">
        <v>2007</v>
      </c>
      <c r="D284">
        <v>6591.8553596056399</v>
      </c>
      <c r="E284">
        <v>6.1778121480938699</v>
      </c>
      <c r="F284">
        <v>22.26</v>
      </c>
      <c r="G284">
        <v>50528584</v>
      </c>
    </row>
    <row r="285" spans="1:7" x14ac:dyDescent="0.3">
      <c r="A285" t="s">
        <v>38</v>
      </c>
      <c r="B285" t="s">
        <v>84</v>
      </c>
      <c r="C285">
        <v>2008</v>
      </c>
      <c r="D285">
        <v>6184.7547432839883</v>
      </c>
      <c r="E285">
        <v>9.9099845600546601</v>
      </c>
      <c r="F285">
        <v>22.407</v>
      </c>
      <c r="G285">
        <v>51114599</v>
      </c>
    </row>
    <row r="286" spans="1:7" x14ac:dyDescent="0.3">
      <c r="A286" t="s">
        <v>38</v>
      </c>
      <c r="B286" t="s">
        <v>84</v>
      </c>
      <c r="C286">
        <v>2009</v>
      </c>
      <c r="D286">
        <v>6374.7056004299247</v>
      </c>
      <c r="E286">
        <v>7.2380952380952603</v>
      </c>
      <c r="F286">
        <v>23.523</v>
      </c>
      <c r="G286">
        <v>51728516</v>
      </c>
    </row>
    <row r="287" spans="1:7" x14ac:dyDescent="0.3">
      <c r="A287" t="s">
        <v>38</v>
      </c>
      <c r="B287" t="s">
        <v>84</v>
      </c>
      <c r="C287">
        <v>2010</v>
      </c>
      <c r="D287">
        <v>7973.4719577151691</v>
      </c>
      <c r="E287">
        <v>4.0674955595026301</v>
      </c>
      <c r="F287">
        <v>24.683</v>
      </c>
      <c r="G287">
        <v>52344051</v>
      </c>
    </row>
    <row r="288" spans="1:7" x14ac:dyDescent="0.3">
      <c r="A288" t="s">
        <v>38</v>
      </c>
      <c r="B288" t="s">
        <v>84</v>
      </c>
      <c r="C288">
        <v>2011</v>
      </c>
      <c r="D288">
        <v>8646.0557107163477</v>
      </c>
      <c r="E288">
        <v>5.0008533879502002</v>
      </c>
      <c r="F288">
        <v>24.638999999999999</v>
      </c>
      <c r="G288">
        <v>52995205</v>
      </c>
    </row>
    <row r="289" spans="1:7" x14ac:dyDescent="0.3">
      <c r="A289" t="s">
        <v>38</v>
      </c>
      <c r="B289" t="s">
        <v>84</v>
      </c>
      <c r="C289">
        <v>2012</v>
      </c>
      <c r="D289">
        <v>8076.9767847974063</v>
      </c>
      <c r="E289">
        <v>5.73797139141739</v>
      </c>
      <c r="F289">
        <v>24.727</v>
      </c>
      <c r="G289">
        <v>53782567</v>
      </c>
    </row>
    <row r="290" spans="1:7" x14ac:dyDescent="0.3">
      <c r="A290" t="s">
        <v>38</v>
      </c>
      <c r="B290" t="s">
        <v>84</v>
      </c>
      <c r="C290">
        <v>2013</v>
      </c>
      <c r="D290">
        <v>7331.6546738491925</v>
      </c>
      <c r="E290">
        <v>5.7801691006917499</v>
      </c>
      <c r="F290">
        <v>24.561</v>
      </c>
      <c r="G290">
        <v>54678791</v>
      </c>
    </row>
    <row r="291" spans="1:7" x14ac:dyDescent="0.3">
      <c r="A291" t="s">
        <v>38</v>
      </c>
      <c r="B291" t="s">
        <v>84</v>
      </c>
      <c r="C291">
        <v>2014</v>
      </c>
      <c r="D291">
        <v>6856.7313709252221</v>
      </c>
      <c r="E291">
        <v>6.1328295305914899</v>
      </c>
      <c r="F291">
        <v>24.89</v>
      </c>
      <c r="G291">
        <v>55594838</v>
      </c>
    </row>
    <row r="292" spans="1:7" x14ac:dyDescent="0.3">
      <c r="A292" t="s">
        <v>38</v>
      </c>
      <c r="B292" t="s">
        <v>84</v>
      </c>
      <c r="C292">
        <v>2015</v>
      </c>
      <c r="D292">
        <v>6112.2738248597416</v>
      </c>
      <c r="E292">
        <v>4.5186909489250597</v>
      </c>
      <c r="F292">
        <v>25.149000000000001</v>
      </c>
      <c r="G292">
        <v>56723537</v>
      </c>
    </row>
    <row r="293" spans="1:7" x14ac:dyDescent="0.3">
      <c r="A293" t="s">
        <v>38</v>
      </c>
      <c r="B293" t="s">
        <v>84</v>
      </c>
      <c r="C293">
        <v>2016</v>
      </c>
      <c r="D293">
        <v>5651.2058516574916</v>
      </c>
      <c r="E293">
        <v>6.6029084239487101</v>
      </c>
      <c r="F293">
        <v>26.536000000000001</v>
      </c>
      <c r="G293">
        <v>57259551</v>
      </c>
    </row>
    <row r="294" spans="1:7" x14ac:dyDescent="0.3">
      <c r="A294" t="s">
        <v>38</v>
      </c>
      <c r="B294" t="s">
        <v>84</v>
      </c>
      <c r="C294">
        <v>2017</v>
      </c>
      <c r="D294">
        <v>6618.335082557006</v>
      </c>
      <c r="E294">
        <v>5.1861865552414903</v>
      </c>
      <c r="F294">
        <v>27.035</v>
      </c>
      <c r="G294">
        <v>57635162</v>
      </c>
    </row>
    <row r="295" spans="1:7" x14ac:dyDescent="0.3">
      <c r="A295" t="s">
        <v>38</v>
      </c>
      <c r="B295" t="s">
        <v>84</v>
      </c>
      <c r="C295">
        <v>2018</v>
      </c>
      <c r="D295">
        <v>6914.1780318075989</v>
      </c>
      <c r="E295">
        <v>4.5098726486738698</v>
      </c>
      <c r="F295">
        <v>26.905999999999999</v>
      </c>
      <c r="G295">
        <v>58613001</v>
      </c>
    </row>
    <row r="296" spans="1:7" x14ac:dyDescent="0.3">
      <c r="A296" t="s">
        <v>38</v>
      </c>
      <c r="B296" t="s">
        <v>84</v>
      </c>
      <c r="C296">
        <v>2019</v>
      </c>
      <c r="D296">
        <v>6533.7112103285608</v>
      </c>
      <c r="E296">
        <v>4.1028507546115502</v>
      </c>
      <c r="F296">
        <v>28.468</v>
      </c>
      <c r="G296">
        <v>59587885</v>
      </c>
    </row>
    <row r="297" spans="1:7" x14ac:dyDescent="0.3">
      <c r="A297" t="s">
        <v>38</v>
      </c>
      <c r="B297" t="s">
        <v>84</v>
      </c>
      <c r="C297">
        <v>2020</v>
      </c>
      <c r="D297">
        <v>5580.6038307518866</v>
      </c>
      <c r="E297">
        <v>3.23238831615113</v>
      </c>
      <c r="F297">
        <v>29.216999999999999</v>
      </c>
      <c r="G297">
        <v>60562381</v>
      </c>
    </row>
    <row r="298" spans="1:7" x14ac:dyDescent="0.3">
      <c r="A298" t="s">
        <v>38</v>
      </c>
      <c r="B298" t="s">
        <v>84</v>
      </c>
      <c r="C298">
        <v>2021</v>
      </c>
      <c r="D298">
        <v>6828.7562459001674</v>
      </c>
      <c r="E298">
        <v>4.6187454488713602</v>
      </c>
      <c r="F298">
        <v>34.006999999999998</v>
      </c>
      <c r="G298">
        <v>61502603</v>
      </c>
    </row>
    <row r="299" spans="1:7" x14ac:dyDescent="0.3">
      <c r="A299" t="s">
        <v>38</v>
      </c>
      <c r="B299" t="s">
        <v>84</v>
      </c>
      <c r="C299">
        <v>2022</v>
      </c>
      <c r="D299">
        <v>6534.2486778339689</v>
      </c>
      <c r="E299">
        <v>7.0398727254648099</v>
      </c>
      <c r="F299">
        <v>33.268000000000001</v>
      </c>
      <c r="G299">
        <v>62378410</v>
      </c>
    </row>
    <row r="300" spans="1:7" x14ac:dyDescent="0.3">
      <c r="A300" t="s">
        <v>38</v>
      </c>
      <c r="B300" t="s">
        <v>84</v>
      </c>
      <c r="C300">
        <v>2023</v>
      </c>
      <c r="D300">
        <v>6034.2720896467317</v>
      </c>
      <c r="E300">
        <v>6.0752438457965896</v>
      </c>
      <c r="F300">
        <v>32.097999999999999</v>
      </c>
      <c r="G300">
        <v>63212384</v>
      </c>
    </row>
    <row r="301" spans="1:7" x14ac:dyDescent="0.3">
      <c r="A301" t="s">
        <v>38</v>
      </c>
      <c r="B301" t="s">
        <v>84</v>
      </c>
      <c r="C301">
        <v>2024</v>
      </c>
      <c r="D301">
        <v>6267.1868140930046</v>
      </c>
      <c r="E301">
        <v>4.3611524651896199</v>
      </c>
      <c r="F301">
        <v>32.279000000000003</v>
      </c>
      <c r="G301">
        <v>64007187</v>
      </c>
    </row>
    <row r="302" spans="1:7" x14ac:dyDescent="0.3">
      <c r="A302" t="s">
        <v>53</v>
      </c>
      <c r="B302" t="s">
        <v>25</v>
      </c>
      <c r="C302">
        <v>2000</v>
      </c>
      <c r="D302">
        <v>14743.267103145477</v>
      </c>
      <c r="E302">
        <v>3.4335165710398798</v>
      </c>
      <c r="F302">
        <v>13.785</v>
      </c>
      <c r="G302">
        <v>40567864</v>
      </c>
    </row>
    <row r="303" spans="1:7" x14ac:dyDescent="0.3">
      <c r="A303" t="s">
        <v>53</v>
      </c>
      <c r="B303" t="s">
        <v>25</v>
      </c>
      <c r="C303">
        <v>2001</v>
      </c>
      <c r="D303">
        <v>15368.233798443476</v>
      </c>
      <c r="E303">
        <v>3.58983367750045</v>
      </c>
      <c r="F303">
        <v>10.348000000000001</v>
      </c>
      <c r="G303">
        <v>40850412</v>
      </c>
    </row>
    <row r="304" spans="1:7" x14ac:dyDescent="0.3">
      <c r="A304" t="s">
        <v>53</v>
      </c>
      <c r="B304" t="s">
        <v>25</v>
      </c>
      <c r="C304">
        <v>2002</v>
      </c>
      <c r="D304">
        <v>17111.068505894054</v>
      </c>
      <c r="E304">
        <v>3.06545608883828</v>
      </c>
      <c r="F304">
        <v>11.146000000000001</v>
      </c>
      <c r="G304">
        <v>41431558</v>
      </c>
    </row>
    <row r="305" spans="1:7" x14ac:dyDescent="0.3">
      <c r="A305" t="s">
        <v>53</v>
      </c>
      <c r="B305" t="s">
        <v>25</v>
      </c>
      <c r="C305">
        <v>2003</v>
      </c>
      <c r="D305">
        <v>21522.01709902615</v>
      </c>
      <c r="E305">
        <v>3.03913607750866</v>
      </c>
      <c r="F305">
        <v>11.282999999999999</v>
      </c>
      <c r="G305">
        <v>42187645</v>
      </c>
    </row>
    <row r="306" spans="1:7" x14ac:dyDescent="0.3">
      <c r="A306" t="s">
        <v>53</v>
      </c>
      <c r="B306" t="s">
        <v>25</v>
      </c>
      <c r="C306">
        <v>2004</v>
      </c>
      <c r="D306">
        <v>24925.02678445755</v>
      </c>
      <c r="E306">
        <v>3.0394837875338401</v>
      </c>
      <c r="F306">
        <v>11.09</v>
      </c>
      <c r="G306">
        <v>42921895</v>
      </c>
    </row>
    <row r="307" spans="1:7" x14ac:dyDescent="0.3">
      <c r="A307" t="s">
        <v>53</v>
      </c>
      <c r="B307" t="s">
        <v>25</v>
      </c>
      <c r="C307">
        <v>2005</v>
      </c>
      <c r="D307">
        <v>26450.953013038234</v>
      </c>
      <c r="E307">
        <v>3.3683142609489098</v>
      </c>
      <c r="F307">
        <v>9.1460000000000008</v>
      </c>
      <c r="G307">
        <v>43653155</v>
      </c>
    </row>
    <row r="308" spans="1:7" x14ac:dyDescent="0.3">
      <c r="A308" t="s">
        <v>53</v>
      </c>
      <c r="B308" t="s">
        <v>25</v>
      </c>
      <c r="C308">
        <v>2006</v>
      </c>
      <c r="D308">
        <v>28421.686527407033</v>
      </c>
      <c r="E308">
        <v>3.5158102691812498</v>
      </c>
      <c r="F308">
        <v>8.452</v>
      </c>
      <c r="G308">
        <v>44397319</v>
      </c>
    </row>
    <row r="309" spans="1:7" x14ac:dyDescent="0.3">
      <c r="A309" t="s">
        <v>53</v>
      </c>
      <c r="B309" t="s">
        <v>25</v>
      </c>
      <c r="C309">
        <v>2007</v>
      </c>
      <c r="D309">
        <v>32652.015594701981</v>
      </c>
      <c r="E309">
        <v>2.7865918101789302</v>
      </c>
      <c r="F309">
        <v>8.2319999999999993</v>
      </c>
      <c r="G309">
        <v>45226803</v>
      </c>
    </row>
    <row r="310" spans="1:7" x14ac:dyDescent="0.3">
      <c r="A310" t="s">
        <v>53</v>
      </c>
      <c r="B310" t="s">
        <v>25</v>
      </c>
      <c r="C310">
        <v>2008</v>
      </c>
      <c r="D310">
        <v>35603.248328071044</v>
      </c>
      <c r="E310">
        <v>4.0756625165524998</v>
      </c>
      <c r="F310">
        <v>11.254</v>
      </c>
      <c r="G310">
        <v>45954106</v>
      </c>
    </row>
    <row r="311" spans="1:7" x14ac:dyDescent="0.3">
      <c r="A311" t="s">
        <v>53</v>
      </c>
      <c r="B311" t="s">
        <v>25</v>
      </c>
      <c r="C311">
        <v>2009</v>
      </c>
      <c r="D311">
        <v>32279.820847615145</v>
      </c>
      <c r="E311">
        <v>-0.28793362792947802</v>
      </c>
      <c r="F311">
        <v>17.856999999999999</v>
      </c>
      <c r="G311">
        <v>46362946</v>
      </c>
    </row>
    <row r="312" spans="1:7" x14ac:dyDescent="0.3">
      <c r="A312" t="s">
        <v>53</v>
      </c>
      <c r="B312" t="s">
        <v>25</v>
      </c>
      <c r="C312">
        <v>2010</v>
      </c>
      <c r="D312">
        <v>30658.742228291194</v>
      </c>
      <c r="E312">
        <v>1.79982772602942</v>
      </c>
      <c r="F312">
        <v>19.86</v>
      </c>
      <c r="G312">
        <v>46576897</v>
      </c>
    </row>
    <row r="313" spans="1:7" x14ac:dyDescent="0.3">
      <c r="A313" t="s">
        <v>53</v>
      </c>
      <c r="B313" t="s">
        <v>25</v>
      </c>
      <c r="C313">
        <v>2011</v>
      </c>
      <c r="D313">
        <v>31824.621913477695</v>
      </c>
      <c r="E313">
        <v>3.1960942501808098</v>
      </c>
      <c r="F313">
        <v>21.39</v>
      </c>
      <c r="G313">
        <v>46742697</v>
      </c>
    </row>
    <row r="314" spans="1:7" x14ac:dyDescent="0.3">
      <c r="A314" t="s">
        <v>53</v>
      </c>
      <c r="B314" t="s">
        <v>25</v>
      </c>
      <c r="C314">
        <v>2012</v>
      </c>
      <c r="D314">
        <v>28456.44381514769</v>
      </c>
      <c r="E314">
        <v>2.4459573503020202</v>
      </c>
      <c r="F314">
        <v>24.789000000000001</v>
      </c>
      <c r="G314">
        <v>46773055</v>
      </c>
    </row>
    <row r="315" spans="1:7" x14ac:dyDescent="0.3">
      <c r="A315" t="s">
        <v>53</v>
      </c>
      <c r="B315" t="s">
        <v>25</v>
      </c>
      <c r="C315">
        <v>2013</v>
      </c>
      <c r="D315">
        <v>29228.846559842044</v>
      </c>
      <c r="E315">
        <v>1.40871603132886</v>
      </c>
      <c r="F315">
        <v>26.094000000000001</v>
      </c>
      <c r="G315">
        <v>46604197</v>
      </c>
    </row>
    <row r="316" spans="1:7" x14ac:dyDescent="0.3">
      <c r="A316" t="s">
        <v>53</v>
      </c>
      <c r="B316" t="s">
        <v>25</v>
      </c>
      <c r="C316">
        <v>2014</v>
      </c>
      <c r="D316">
        <v>29707.765509467015</v>
      </c>
      <c r="E316">
        <v>-0.15092121765504801</v>
      </c>
      <c r="F316">
        <v>24.440999999999999</v>
      </c>
      <c r="G316">
        <v>46460733</v>
      </c>
    </row>
    <row r="317" spans="1:7" x14ac:dyDescent="0.3">
      <c r="A317" t="s">
        <v>53</v>
      </c>
      <c r="B317" t="s">
        <v>25</v>
      </c>
      <c r="C317">
        <v>2015</v>
      </c>
      <c r="D317">
        <v>25982.44161977755</v>
      </c>
      <c r="E317">
        <v>-0.50032742014990395</v>
      </c>
      <c r="F317">
        <v>22.056999999999999</v>
      </c>
      <c r="G317">
        <v>46422303</v>
      </c>
    </row>
    <row r="318" spans="1:7" x14ac:dyDescent="0.3">
      <c r="A318" t="s">
        <v>53</v>
      </c>
      <c r="B318" t="s">
        <v>25</v>
      </c>
      <c r="C318">
        <v>2016</v>
      </c>
      <c r="D318">
        <v>26755.606114939812</v>
      </c>
      <c r="E318">
        <v>-0.20272190336745399</v>
      </c>
      <c r="F318">
        <v>19.635000000000002</v>
      </c>
      <c r="G318">
        <v>46458139</v>
      </c>
    </row>
    <row r="319" spans="1:7" x14ac:dyDescent="0.3">
      <c r="A319" t="s">
        <v>53</v>
      </c>
      <c r="B319" t="s">
        <v>25</v>
      </c>
      <c r="C319">
        <v>2017</v>
      </c>
      <c r="D319">
        <v>28381.342559690624</v>
      </c>
      <c r="E319">
        <v>1.95575728963107</v>
      </c>
      <c r="F319">
        <v>17.224</v>
      </c>
      <c r="G319">
        <v>46571232</v>
      </c>
    </row>
    <row r="320" spans="1:7" x14ac:dyDescent="0.3">
      <c r="A320" t="s">
        <v>53</v>
      </c>
      <c r="B320" t="s">
        <v>25</v>
      </c>
      <c r="C320">
        <v>2018</v>
      </c>
      <c r="D320">
        <v>30602.42128811132</v>
      </c>
      <c r="E320">
        <v>1.6753982146528701</v>
      </c>
      <c r="F320">
        <v>15.255000000000001</v>
      </c>
      <c r="G320">
        <v>46782011</v>
      </c>
    </row>
    <row r="321" spans="1:7" x14ac:dyDescent="0.3">
      <c r="A321" t="s">
        <v>53</v>
      </c>
      <c r="B321" t="s">
        <v>25</v>
      </c>
      <c r="C321">
        <v>2019</v>
      </c>
      <c r="D321">
        <v>29786.524568900699</v>
      </c>
      <c r="E321">
        <v>0.699267137814226</v>
      </c>
      <c r="F321">
        <v>14.103999999999999</v>
      </c>
      <c r="G321">
        <v>47118501</v>
      </c>
    </row>
    <row r="322" spans="1:7" x14ac:dyDescent="0.3">
      <c r="A322" t="s">
        <v>53</v>
      </c>
      <c r="B322" t="s">
        <v>25</v>
      </c>
      <c r="C322">
        <v>2020</v>
      </c>
      <c r="D322">
        <v>27233.942646160765</v>
      </c>
      <c r="E322">
        <v>-0.32256461686194199</v>
      </c>
      <c r="F322">
        <v>15.532</v>
      </c>
      <c r="G322">
        <v>47359424</v>
      </c>
    </row>
    <row r="323" spans="1:7" x14ac:dyDescent="0.3">
      <c r="A323" t="s">
        <v>53</v>
      </c>
      <c r="B323" t="s">
        <v>25</v>
      </c>
      <c r="C323">
        <v>2021</v>
      </c>
      <c r="D323">
        <v>30799.477593777483</v>
      </c>
      <c r="E323">
        <v>3.0930498953180501</v>
      </c>
      <c r="F323">
        <v>14.914</v>
      </c>
      <c r="G323">
        <v>47443821</v>
      </c>
    </row>
    <row r="324" spans="1:7" x14ac:dyDescent="0.3">
      <c r="A324" t="s">
        <v>53</v>
      </c>
      <c r="B324" t="s">
        <v>25</v>
      </c>
      <c r="C324">
        <v>2022</v>
      </c>
      <c r="D324">
        <v>30319.498719661635</v>
      </c>
      <c r="E324">
        <v>8.3904194074889595</v>
      </c>
      <c r="F324">
        <v>13.032999999999999</v>
      </c>
      <c r="G324">
        <v>47786102</v>
      </c>
    </row>
    <row r="325" spans="1:7" x14ac:dyDescent="0.3">
      <c r="A325" t="s">
        <v>53</v>
      </c>
      <c r="B325" t="s">
        <v>25</v>
      </c>
      <c r="C325">
        <v>2023</v>
      </c>
      <c r="D325">
        <v>33493.222540911127</v>
      </c>
      <c r="E325">
        <v>3.5324728766789799</v>
      </c>
      <c r="F325">
        <v>12.179</v>
      </c>
      <c r="G325">
        <v>48352528</v>
      </c>
    </row>
    <row r="326" spans="1:7" x14ac:dyDescent="0.3">
      <c r="A326" t="s">
        <v>53</v>
      </c>
      <c r="B326" t="s">
        <v>25</v>
      </c>
      <c r="C326">
        <v>2024</v>
      </c>
      <c r="D326">
        <v>35326.768306927806</v>
      </c>
      <c r="E326">
        <v>2.7740698727587301</v>
      </c>
      <c r="F326">
        <v>11.4</v>
      </c>
      <c r="G326">
        <v>48848840</v>
      </c>
    </row>
    <row r="327" spans="1:7" x14ac:dyDescent="0.3">
      <c r="A327" t="s">
        <v>2</v>
      </c>
      <c r="B327" t="s">
        <v>24</v>
      </c>
      <c r="C327">
        <v>2000</v>
      </c>
      <c r="D327">
        <v>28383.876109499641</v>
      </c>
      <c r="E327">
        <v>1.18295624210408</v>
      </c>
      <c r="F327">
        <v>5.5579999999999998</v>
      </c>
      <c r="G327">
        <v>58892514</v>
      </c>
    </row>
    <row r="328" spans="1:7" x14ac:dyDescent="0.3">
      <c r="A328" t="s">
        <v>2</v>
      </c>
      <c r="B328" t="s">
        <v>24</v>
      </c>
      <c r="C328">
        <v>2001</v>
      </c>
      <c r="D328">
        <v>28013.872963550777</v>
      </c>
      <c r="E328">
        <v>1.5323496027241701</v>
      </c>
      <c r="F328">
        <v>4.6959999999999997</v>
      </c>
      <c r="G328">
        <v>59119673</v>
      </c>
    </row>
    <row r="329" spans="1:7" x14ac:dyDescent="0.3">
      <c r="A329" t="s">
        <v>2</v>
      </c>
      <c r="B329" t="s">
        <v>24</v>
      </c>
      <c r="C329">
        <v>2002</v>
      </c>
      <c r="D329">
        <v>30158.701780785788</v>
      </c>
      <c r="E329">
        <v>1.52040245947455</v>
      </c>
      <c r="F329">
        <v>5.0369999999999999</v>
      </c>
      <c r="G329">
        <v>59370479</v>
      </c>
    </row>
    <row r="330" spans="1:7" x14ac:dyDescent="0.3">
      <c r="A330" t="s">
        <v>2</v>
      </c>
      <c r="B330" t="s">
        <v>24</v>
      </c>
      <c r="C330">
        <v>2003</v>
      </c>
      <c r="D330">
        <v>34556.772609590509</v>
      </c>
      <c r="E330">
        <v>1.3765003854201301</v>
      </c>
      <c r="F330">
        <v>4.8070000000000004</v>
      </c>
      <c r="G330">
        <v>59647577</v>
      </c>
    </row>
    <row r="331" spans="1:7" x14ac:dyDescent="0.3">
      <c r="A331" t="s">
        <v>2</v>
      </c>
      <c r="B331" t="s">
        <v>24</v>
      </c>
      <c r="C331">
        <v>2004</v>
      </c>
      <c r="D331">
        <v>40504.411810392849</v>
      </c>
      <c r="E331">
        <v>1.3903975668042099</v>
      </c>
      <c r="F331">
        <v>4.5940000000000003</v>
      </c>
      <c r="G331">
        <v>59987905</v>
      </c>
    </row>
    <row r="332" spans="1:7" x14ac:dyDescent="0.3">
      <c r="A332" t="s">
        <v>2</v>
      </c>
      <c r="B332" t="s">
        <v>24</v>
      </c>
      <c r="C332">
        <v>2005</v>
      </c>
      <c r="D332">
        <v>42240.246298754661</v>
      </c>
      <c r="E332">
        <v>2.0891364902506901</v>
      </c>
      <c r="F332">
        <v>4.8840000000000003</v>
      </c>
      <c r="G332">
        <v>60401206</v>
      </c>
    </row>
    <row r="333" spans="1:7" x14ac:dyDescent="0.3">
      <c r="A333" t="s">
        <v>2</v>
      </c>
      <c r="B333" t="s">
        <v>24</v>
      </c>
      <c r="C333">
        <v>2006</v>
      </c>
      <c r="D333">
        <v>44695.161023423956</v>
      </c>
      <c r="E333">
        <v>2.4556616643928999</v>
      </c>
      <c r="F333">
        <v>5.4720000000000004</v>
      </c>
      <c r="G333">
        <v>60846820</v>
      </c>
    </row>
    <row r="334" spans="1:7" x14ac:dyDescent="0.3">
      <c r="A334" t="s">
        <v>2</v>
      </c>
      <c r="B334" t="s">
        <v>24</v>
      </c>
      <c r="C334">
        <v>2007</v>
      </c>
      <c r="D334">
        <v>50629.07991728872</v>
      </c>
      <c r="E334">
        <v>2.38656150773327</v>
      </c>
      <c r="F334">
        <v>5.399</v>
      </c>
      <c r="G334">
        <v>61322463</v>
      </c>
    </row>
    <row r="335" spans="1:7" x14ac:dyDescent="0.3">
      <c r="A335" t="s">
        <v>2</v>
      </c>
      <c r="B335" t="s">
        <v>24</v>
      </c>
      <c r="C335">
        <v>2008</v>
      </c>
      <c r="D335">
        <v>47652.403069188105</v>
      </c>
      <c r="E335">
        <v>3.5214085634253798</v>
      </c>
      <c r="F335">
        <v>5.7480000000000002</v>
      </c>
      <c r="G335">
        <v>61806995</v>
      </c>
    </row>
    <row r="336" spans="1:7" x14ac:dyDescent="0.3">
      <c r="A336" t="s">
        <v>2</v>
      </c>
      <c r="B336" t="s">
        <v>24</v>
      </c>
      <c r="C336">
        <v>2009</v>
      </c>
      <c r="D336">
        <v>39009.371554782112</v>
      </c>
      <c r="E336">
        <v>1.9617317356010899</v>
      </c>
      <c r="F336">
        <v>7.6829999999999998</v>
      </c>
      <c r="G336">
        <v>62276270</v>
      </c>
    </row>
    <row r="337" spans="1:7" x14ac:dyDescent="0.3">
      <c r="A337" t="s">
        <v>2</v>
      </c>
      <c r="B337" t="s">
        <v>24</v>
      </c>
      <c r="C337">
        <v>2010</v>
      </c>
      <c r="D337">
        <v>39778.322052856478</v>
      </c>
      <c r="E337">
        <v>2.4926547246706501</v>
      </c>
      <c r="F337">
        <v>7.9729999999999999</v>
      </c>
      <c r="G337">
        <v>62766365</v>
      </c>
    </row>
    <row r="338" spans="1:7" x14ac:dyDescent="0.3">
      <c r="A338" t="s">
        <v>2</v>
      </c>
      <c r="B338" t="s">
        <v>24</v>
      </c>
      <c r="C338">
        <v>2011</v>
      </c>
      <c r="D338">
        <v>42295.927383532166</v>
      </c>
      <c r="E338">
        <v>3.8561124468282002</v>
      </c>
      <c r="F338">
        <v>8.1950000000000003</v>
      </c>
      <c r="G338">
        <v>63258810</v>
      </c>
    </row>
    <row r="339" spans="1:7" x14ac:dyDescent="0.3">
      <c r="A339" t="s">
        <v>2</v>
      </c>
      <c r="B339" t="s">
        <v>24</v>
      </c>
      <c r="C339">
        <v>2012</v>
      </c>
      <c r="D339">
        <v>42688.326372837204</v>
      </c>
      <c r="E339">
        <v>2.5732347965453002</v>
      </c>
      <c r="F339">
        <v>8.2789999999999999</v>
      </c>
      <c r="G339">
        <v>63711000</v>
      </c>
    </row>
    <row r="340" spans="1:7" x14ac:dyDescent="0.3">
      <c r="A340" t="s">
        <v>2</v>
      </c>
      <c r="B340" t="s">
        <v>24</v>
      </c>
      <c r="C340">
        <v>2013</v>
      </c>
      <c r="D340">
        <v>43607.663682737053</v>
      </c>
      <c r="E340">
        <v>2.2916666666665901</v>
      </c>
      <c r="F340">
        <v>7.7519999999999998</v>
      </c>
      <c r="G340">
        <v>64138000</v>
      </c>
    </row>
    <row r="341" spans="1:7" x14ac:dyDescent="0.3">
      <c r="A341" t="s">
        <v>2</v>
      </c>
      <c r="B341" t="s">
        <v>24</v>
      </c>
      <c r="C341">
        <v>2014</v>
      </c>
      <c r="D341">
        <v>47746.981064552092</v>
      </c>
      <c r="E341">
        <v>1.4511201629327899</v>
      </c>
      <c r="F341">
        <v>6.3979999999999997</v>
      </c>
      <c r="G341">
        <v>64619000</v>
      </c>
    </row>
    <row r="342" spans="1:7" x14ac:dyDescent="0.3">
      <c r="A342" t="s">
        <v>2</v>
      </c>
      <c r="B342" t="s">
        <v>24</v>
      </c>
      <c r="C342">
        <v>2015</v>
      </c>
      <c r="D342">
        <v>45256.04022705699</v>
      </c>
      <c r="E342">
        <v>0.36804684232536</v>
      </c>
      <c r="F342">
        <v>5.5519999999999996</v>
      </c>
      <c r="G342">
        <v>65087000</v>
      </c>
    </row>
    <row r="343" spans="1:7" x14ac:dyDescent="0.3">
      <c r="A343" t="s">
        <v>2</v>
      </c>
      <c r="B343" t="s">
        <v>24</v>
      </c>
      <c r="C343">
        <v>2016</v>
      </c>
      <c r="D343">
        <v>41258.5374285695</v>
      </c>
      <c r="E343">
        <v>1.00841736811409</v>
      </c>
      <c r="F343">
        <v>4.9089999999999998</v>
      </c>
      <c r="G343">
        <v>65606000</v>
      </c>
    </row>
    <row r="344" spans="1:7" x14ac:dyDescent="0.3">
      <c r="A344" t="s">
        <v>2</v>
      </c>
      <c r="B344" t="s">
        <v>24</v>
      </c>
      <c r="C344">
        <v>2017</v>
      </c>
      <c r="D344">
        <v>40918.052087094409</v>
      </c>
      <c r="E344">
        <v>2.55775577557747</v>
      </c>
      <c r="F344">
        <v>4.5010000000000003</v>
      </c>
      <c r="G344">
        <v>65964000</v>
      </c>
    </row>
    <row r="345" spans="1:7" x14ac:dyDescent="0.3">
      <c r="A345" t="s">
        <v>2</v>
      </c>
      <c r="B345" t="s">
        <v>24</v>
      </c>
      <c r="C345">
        <v>2018</v>
      </c>
      <c r="D345">
        <v>43704.316229668715</v>
      </c>
      <c r="E345">
        <v>2.2928399034593698</v>
      </c>
      <c r="F345">
        <v>4.1449999999999996</v>
      </c>
      <c r="G345">
        <v>66287000</v>
      </c>
    </row>
    <row r="346" spans="1:7" x14ac:dyDescent="0.3">
      <c r="A346" t="s">
        <v>2</v>
      </c>
      <c r="B346" t="s">
        <v>24</v>
      </c>
      <c r="C346">
        <v>2019</v>
      </c>
      <c r="D346">
        <v>43160.684397179866</v>
      </c>
      <c r="E346">
        <v>1.73810460086512</v>
      </c>
      <c r="F346">
        <v>3.657</v>
      </c>
      <c r="G346">
        <v>66628000</v>
      </c>
    </row>
    <row r="347" spans="1:7" x14ac:dyDescent="0.3">
      <c r="A347" t="s">
        <v>2</v>
      </c>
      <c r="B347" t="s">
        <v>24</v>
      </c>
      <c r="C347">
        <v>2020</v>
      </c>
      <c r="D347">
        <v>40815.125536478736</v>
      </c>
      <c r="E347">
        <v>0.98948670377249104</v>
      </c>
      <c r="F347">
        <v>4.4720000000000004</v>
      </c>
      <c r="G347">
        <v>66740000</v>
      </c>
    </row>
    <row r="348" spans="1:7" x14ac:dyDescent="0.3">
      <c r="A348" t="s">
        <v>2</v>
      </c>
      <c r="B348" t="s">
        <v>24</v>
      </c>
      <c r="C348">
        <v>2021</v>
      </c>
      <c r="D348">
        <v>47695.649152347447</v>
      </c>
      <c r="E348">
        <v>2.51837109614213</v>
      </c>
      <c r="F348">
        <v>4.8639999999999999</v>
      </c>
      <c r="G348">
        <v>66978000</v>
      </c>
    </row>
    <row r="349" spans="1:7" x14ac:dyDescent="0.3">
      <c r="A349" t="s">
        <v>2</v>
      </c>
      <c r="B349" t="s">
        <v>24</v>
      </c>
      <c r="C349">
        <v>2022</v>
      </c>
      <c r="D349">
        <v>47034.779562147589</v>
      </c>
      <c r="E349">
        <v>7.9220488314790201</v>
      </c>
      <c r="F349">
        <v>3.7679999999999998</v>
      </c>
      <c r="G349">
        <v>67636000</v>
      </c>
    </row>
    <row r="350" spans="1:7" x14ac:dyDescent="0.3">
      <c r="A350" t="s">
        <v>2</v>
      </c>
      <c r="B350" t="s">
        <v>24</v>
      </c>
      <c r="C350">
        <v>2023</v>
      </c>
      <c r="D350">
        <v>49919.689662158606</v>
      </c>
      <c r="E350">
        <v>6.7939670679396196</v>
      </c>
      <c r="F350">
        <v>4.0250000000000004</v>
      </c>
      <c r="G350">
        <v>68526000</v>
      </c>
    </row>
    <row r="351" spans="1:7" x14ac:dyDescent="0.3">
      <c r="A351" t="s">
        <v>2</v>
      </c>
      <c r="B351" t="s">
        <v>24</v>
      </c>
      <c r="C351">
        <v>2024</v>
      </c>
      <c r="D351">
        <v>53341.31310942617</v>
      </c>
      <c r="E351">
        <v>3.2715729463591998</v>
      </c>
      <c r="F351">
        <v>4.3609999999999998</v>
      </c>
      <c r="G351">
        <v>69281000</v>
      </c>
    </row>
    <row r="352" spans="1:7" x14ac:dyDescent="0.3">
      <c r="A352" t="s">
        <v>77</v>
      </c>
      <c r="B352" t="s">
        <v>81</v>
      </c>
      <c r="C352">
        <v>2000</v>
      </c>
      <c r="D352">
        <v>36329.970259575079</v>
      </c>
      <c r="E352">
        <v>3.3768572714992899</v>
      </c>
      <c r="F352">
        <v>3.992</v>
      </c>
      <c r="G352">
        <v>282162411</v>
      </c>
    </row>
    <row r="353" spans="1:7" x14ac:dyDescent="0.3">
      <c r="A353" t="s">
        <v>77</v>
      </c>
      <c r="B353" t="s">
        <v>81</v>
      </c>
      <c r="C353">
        <v>2001</v>
      </c>
      <c r="D353">
        <v>37133.620397351704</v>
      </c>
      <c r="E353">
        <v>2.8261711188540701</v>
      </c>
      <c r="F353">
        <v>4.7309999999999999</v>
      </c>
      <c r="G353">
        <v>284968955</v>
      </c>
    </row>
    <row r="354" spans="1:7" x14ac:dyDescent="0.3">
      <c r="A354" t="s">
        <v>77</v>
      </c>
      <c r="B354" t="s">
        <v>81</v>
      </c>
      <c r="C354">
        <v>2002</v>
      </c>
      <c r="D354">
        <v>37997.742430024198</v>
      </c>
      <c r="E354">
        <v>1.5860316265060099</v>
      </c>
      <c r="F354">
        <v>5.7830000000000004</v>
      </c>
      <c r="G354">
        <v>287625193</v>
      </c>
    </row>
    <row r="355" spans="1:7" x14ac:dyDescent="0.3">
      <c r="A355" t="s">
        <v>77</v>
      </c>
      <c r="B355" t="s">
        <v>81</v>
      </c>
      <c r="C355">
        <v>2003</v>
      </c>
      <c r="D355">
        <v>39490.302390317607</v>
      </c>
      <c r="E355">
        <v>2.27009497336114</v>
      </c>
      <c r="F355">
        <v>5.9889999999999999</v>
      </c>
      <c r="G355">
        <v>290107933</v>
      </c>
    </row>
    <row r="356" spans="1:7" x14ac:dyDescent="0.3">
      <c r="A356" t="s">
        <v>77</v>
      </c>
      <c r="B356" t="s">
        <v>81</v>
      </c>
      <c r="C356">
        <v>2004</v>
      </c>
      <c r="D356">
        <v>41724.641198261379</v>
      </c>
      <c r="E356">
        <v>2.67723669309171</v>
      </c>
      <c r="F356">
        <v>5.5289999999999999</v>
      </c>
      <c r="G356">
        <v>292805298</v>
      </c>
    </row>
    <row r="357" spans="1:7" x14ac:dyDescent="0.3">
      <c r="A357" t="s">
        <v>77</v>
      </c>
      <c r="B357" t="s">
        <v>81</v>
      </c>
      <c r="C357">
        <v>2005</v>
      </c>
      <c r="D357">
        <v>44123.399647002567</v>
      </c>
      <c r="E357">
        <v>3.3927468454955001</v>
      </c>
      <c r="F357">
        <v>5.0839999999999996</v>
      </c>
      <c r="G357">
        <v>295516599</v>
      </c>
    </row>
    <row r="358" spans="1:7" x14ac:dyDescent="0.3">
      <c r="A358" t="s">
        <v>77</v>
      </c>
      <c r="B358" t="s">
        <v>81</v>
      </c>
      <c r="C358">
        <v>2006</v>
      </c>
      <c r="D358">
        <v>46301.987648551891</v>
      </c>
      <c r="E358">
        <v>3.2259441007040399</v>
      </c>
      <c r="F358">
        <v>4.6230000000000002</v>
      </c>
      <c r="G358">
        <v>298379912</v>
      </c>
    </row>
    <row r="359" spans="1:7" x14ac:dyDescent="0.3">
      <c r="A359" t="s">
        <v>77</v>
      </c>
      <c r="B359" t="s">
        <v>81</v>
      </c>
      <c r="C359">
        <v>2007</v>
      </c>
      <c r="D359">
        <v>48050.227412195047</v>
      </c>
      <c r="E359">
        <v>2.8526724815013802</v>
      </c>
      <c r="F359">
        <v>4.6219999999999999</v>
      </c>
      <c r="G359">
        <v>301231207</v>
      </c>
    </row>
    <row r="360" spans="1:7" x14ac:dyDescent="0.3">
      <c r="A360" t="s">
        <v>77</v>
      </c>
      <c r="B360" t="s">
        <v>81</v>
      </c>
      <c r="C360">
        <v>2008</v>
      </c>
      <c r="D360">
        <v>48570.05942696015</v>
      </c>
      <c r="E360">
        <v>3.8391002966509902</v>
      </c>
      <c r="F360">
        <v>5.7839999999999998</v>
      </c>
      <c r="G360">
        <v>304093966</v>
      </c>
    </row>
    <row r="361" spans="1:7" x14ac:dyDescent="0.3">
      <c r="A361" t="s">
        <v>77</v>
      </c>
      <c r="B361" t="s">
        <v>81</v>
      </c>
      <c r="C361">
        <v>2009</v>
      </c>
      <c r="D361">
        <v>47194.95008938721</v>
      </c>
      <c r="E361">
        <v>-0.355546266299747</v>
      </c>
      <c r="F361">
        <v>9.2539999999999996</v>
      </c>
      <c r="G361">
        <v>306771529</v>
      </c>
    </row>
    <row r="362" spans="1:7" x14ac:dyDescent="0.3">
      <c r="A362" t="s">
        <v>77</v>
      </c>
      <c r="B362" t="s">
        <v>81</v>
      </c>
      <c r="C362">
        <v>2010</v>
      </c>
      <c r="D362">
        <v>48642.631208821302</v>
      </c>
      <c r="E362">
        <v>1.6400434423899</v>
      </c>
      <c r="F362">
        <v>9.6329999999999991</v>
      </c>
      <c r="G362">
        <v>309378227</v>
      </c>
    </row>
    <row r="363" spans="1:7" x14ac:dyDescent="0.3">
      <c r="A363" t="s">
        <v>77</v>
      </c>
      <c r="B363" t="s">
        <v>81</v>
      </c>
      <c r="C363">
        <v>2011</v>
      </c>
      <c r="D363">
        <v>50024.8812320773</v>
      </c>
      <c r="E363">
        <v>3.1568415686220002</v>
      </c>
      <c r="F363">
        <v>8.9489999999999998</v>
      </c>
      <c r="G363">
        <v>311839461</v>
      </c>
    </row>
    <row r="364" spans="1:7" x14ac:dyDescent="0.3">
      <c r="A364" t="s">
        <v>77</v>
      </c>
      <c r="B364" t="s">
        <v>81</v>
      </c>
      <c r="C364">
        <v>2012</v>
      </c>
      <c r="D364">
        <v>51708.394061408188</v>
      </c>
      <c r="E364">
        <v>2.0693372652606601</v>
      </c>
      <c r="F364">
        <v>8.0690000000000008</v>
      </c>
      <c r="G364">
        <v>314339099</v>
      </c>
    </row>
    <row r="365" spans="1:7" x14ac:dyDescent="0.3">
      <c r="A365" t="s">
        <v>77</v>
      </c>
      <c r="B365" t="s">
        <v>81</v>
      </c>
      <c r="C365">
        <v>2013</v>
      </c>
      <c r="D365">
        <v>53297.386290159528</v>
      </c>
      <c r="E365">
        <v>1.46483265562716</v>
      </c>
      <c r="F365">
        <v>7.375</v>
      </c>
      <c r="G365">
        <v>316726282</v>
      </c>
    </row>
    <row r="366" spans="1:7" x14ac:dyDescent="0.3">
      <c r="A366" t="s">
        <v>77</v>
      </c>
      <c r="B366" t="s">
        <v>81</v>
      </c>
      <c r="C366">
        <v>2014</v>
      </c>
      <c r="D366">
        <v>55153.394018296698</v>
      </c>
      <c r="E366">
        <v>1.62222297740817</v>
      </c>
      <c r="F366">
        <v>6.1680000000000001</v>
      </c>
      <c r="G366">
        <v>319257560</v>
      </c>
    </row>
    <row r="367" spans="1:7" x14ac:dyDescent="0.3">
      <c r="A367" t="s">
        <v>77</v>
      </c>
      <c r="B367" t="s">
        <v>81</v>
      </c>
      <c r="C367">
        <v>2015</v>
      </c>
      <c r="D367">
        <v>56849.46979231594</v>
      </c>
      <c r="E367">
        <v>0.11862713555245</v>
      </c>
      <c r="F367">
        <v>5.28</v>
      </c>
      <c r="G367">
        <v>321815121</v>
      </c>
    </row>
    <row r="368" spans="1:7" x14ac:dyDescent="0.3">
      <c r="A368" t="s">
        <v>77</v>
      </c>
      <c r="B368" t="s">
        <v>81</v>
      </c>
      <c r="C368">
        <v>2016</v>
      </c>
      <c r="D368">
        <v>57976.628204291039</v>
      </c>
      <c r="E368">
        <v>1.26158320570535</v>
      </c>
      <c r="F368">
        <v>4.8689999999999998</v>
      </c>
      <c r="G368">
        <v>324353340</v>
      </c>
    </row>
    <row r="369" spans="1:7" x14ac:dyDescent="0.3">
      <c r="A369" t="s">
        <v>77</v>
      </c>
      <c r="B369" t="s">
        <v>81</v>
      </c>
      <c r="C369">
        <v>2017</v>
      </c>
      <c r="D369">
        <v>60047.719072830689</v>
      </c>
      <c r="E369">
        <v>2.1301100036596101</v>
      </c>
      <c r="F369">
        <v>4.3550000000000004</v>
      </c>
      <c r="G369">
        <v>326608609</v>
      </c>
    </row>
    <row r="370" spans="1:7" x14ac:dyDescent="0.3">
      <c r="A370" t="s">
        <v>77</v>
      </c>
      <c r="B370" t="s">
        <v>81</v>
      </c>
      <c r="C370">
        <v>2018</v>
      </c>
      <c r="D370">
        <v>62875.666138272842</v>
      </c>
      <c r="E370">
        <v>2.4425832969281598</v>
      </c>
      <c r="F370">
        <v>3.8959999999999999</v>
      </c>
      <c r="G370">
        <v>328529577</v>
      </c>
    </row>
    <row r="371" spans="1:7" x14ac:dyDescent="0.3">
      <c r="A371" t="s">
        <v>77</v>
      </c>
      <c r="B371" t="s">
        <v>81</v>
      </c>
      <c r="C371">
        <v>2019</v>
      </c>
      <c r="D371">
        <v>65227.95659110383</v>
      </c>
      <c r="E371">
        <v>1.8122100752601999</v>
      </c>
      <c r="F371">
        <v>3.669</v>
      </c>
      <c r="G371">
        <v>330226227</v>
      </c>
    </row>
    <row r="372" spans="1:7" x14ac:dyDescent="0.3">
      <c r="A372" t="s">
        <v>77</v>
      </c>
      <c r="B372" t="s">
        <v>81</v>
      </c>
      <c r="C372">
        <v>2020</v>
      </c>
      <c r="D372">
        <v>64465.297141574825</v>
      </c>
      <c r="E372">
        <v>1.23358439630629</v>
      </c>
      <c r="F372">
        <v>8.0549999999999997</v>
      </c>
      <c r="G372">
        <v>331578104</v>
      </c>
    </row>
    <row r="373" spans="1:7" x14ac:dyDescent="0.3">
      <c r="A373" t="s">
        <v>77</v>
      </c>
      <c r="B373" t="s">
        <v>81</v>
      </c>
      <c r="C373">
        <v>2021</v>
      </c>
      <c r="D373">
        <v>71441.231980594675</v>
      </c>
      <c r="E373">
        <v>4.6978588636374203</v>
      </c>
      <c r="F373">
        <v>5.3490000000000002</v>
      </c>
      <c r="G373">
        <v>332100166</v>
      </c>
    </row>
    <row r="374" spans="1:7" x14ac:dyDescent="0.3">
      <c r="A374" t="s">
        <v>77</v>
      </c>
      <c r="B374" t="s">
        <v>81</v>
      </c>
      <c r="C374">
        <v>2022</v>
      </c>
      <c r="D374">
        <v>78008.689581187704</v>
      </c>
      <c r="E374">
        <v>8.0027998205212096</v>
      </c>
      <c r="F374">
        <v>3.65</v>
      </c>
      <c r="G374">
        <v>333996304</v>
      </c>
    </row>
    <row r="375" spans="1:7" x14ac:dyDescent="0.3">
      <c r="A375" t="s">
        <v>77</v>
      </c>
      <c r="B375" t="s">
        <v>81</v>
      </c>
      <c r="C375">
        <v>2023</v>
      </c>
      <c r="D375">
        <v>82586.784770789425</v>
      </c>
      <c r="E375">
        <v>4.1163383837448704</v>
      </c>
      <c r="F375">
        <v>3.6379999999999999</v>
      </c>
      <c r="G375">
        <v>336755052</v>
      </c>
    </row>
    <row r="376" spans="1:7" x14ac:dyDescent="0.3">
      <c r="A376" t="s">
        <v>77</v>
      </c>
      <c r="B376" t="s">
        <v>81</v>
      </c>
      <c r="C376">
        <v>2024</v>
      </c>
      <c r="D376">
        <v>86169.664158191736</v>
      </c>
      <c r="E376">
        <v>2.9495252048520699</v>
      </c>
      <c r="F376">
        <v>4.0220000000000002</v>
      </c>
      <c r="G376">
        <v>340003797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7AE8-BA62-4A3F-9A33-ADDC9B198C77}">
  <dimension ref="A1:I18"/>
  <sheetViews>
    <sheetView zoomScale="85" zoomScaleNormal="85" workbookViewId="0"/>
  </sheetViews>
  <sheetFormatPr defaultRowHeight="14.4" x14ac:dyDescent="0.3"/>
  <cols>
    <col min="1" max="1" width="29.109375" customWidth="1"/>
    <col min="2" max="2" width="38.109375" customWidth="1"/>
    <col min="3" max="3" width="21.5546875" customWidth="1"/>
    <col min="4" max="4" width="13.88671875" customWidth="1"/>
    <col min="5" max="5" width="20.109375" customWidth="1"/>
    <col min="6" max="6" width="18.33203125" customWidth="1"/>
    <col min="7" max="7" width="19.6640625" customWidth="1"/>
    <col min="8" max="8" width="17" bestFit="1" customWidth="1"/>
    <col min="9" max="9" width="17.21875" customWidth="1"/>
  </cols>
  <sheetData>
    <row r="1" spans="1:9" ht="23.4" x14ac:dyDescent="0.45">
      <c r="B1" s="3" t="s">
        <v>130</v>
      </c>
      <c r="C1" s="2"/>
      <c r="D1" s="2"/>
      <c r="E1" s="2"/>
    </row>
    <row r="3" spans="1:9" x14ac:dyDescent="0.3">
      <c r="A3" s="14" t="s">
        <v>129</v>
      </c>
      <c r="B3" s="14" t="s">
        <v>124</v>
      </c>
      <c r="C3" s="14" t="s">
        <v>128</v>
      </c>
      <c r="D3" s="14" t="s">
        <v>125</v>
      </c>
      <c r="E3" s="14" t="s">
        <v>126</v>
      </c>
      <c r="F3" s="15" t="s">
        <v>127</v>
      </c>
      <c r="G3" s="17"/>
      <c r="H3" s="17"/>
      <c r="I3" s="17"/>
    </row>
    <row r="4" spans="1:9" x14ac:dyDescent="0.3">
      <c r="A4" s="7" t="s">
        <v>118</v>
      </c>
      <c r="B4" s="5">
        <v>2024</v>
      </c>
      <c r="C4" s="6">
        <f>SUMIFS(Clean_Data!$D:$D,Clean_Data!$A:$A,$A4,Clean_Data!$C:$C,$B4)</f>
        <v>10310.548697369348</v>
      </c>
      <c r="D4" s="4">
        <f>SUMIFS(Clean_Data!$E:$E,Clean_Data!$A:$A,$A4,Clean_Data!$C:$C,$B4)</f>
        <v>4.3674640765233601</v>
      </c>
      <c r="E4" s="4">
        <f>SUMIFS(Clean_Data!$F:$F,Clean_Data!$A:$A,$A4,Clean_Data!$C:$C,$B4)</f>
        <v>6.8010000000000002</v>
      </c>
      <c r="F4" s="8">
        <f>SUMIFS(Clean_Data!$G:$G,Clean_Data!$A:$A,$A4,Clean_Data!$C:$C,$B4)</f>
        <v>211998573</v>
      </c>
      <c r="H4" s="16"/>
    </row>
    <row r="5" spans="1:9" x14ac:dyDescent="0.3">
      <c r="A5" s="7" t="s">
        <v>86</v>
      </c>
      <c r="B5" s="5">
        <v>2024</v>
      </c>
      <c r="C5" s="6">
        <f>SUMIFS(Clean_Data!$D:$D,Clean_Data!$A:$A,$A5,Clean_Data!$C:$C,$B5)</f>
        <v>13293.116226936598</v>
      </c>
      <c r="D5" s="4">
        <f>SUMIFS(Clean_Data!$E:$E,Clean_Data!$A:$A,$A5,Clean_Data!$C:$C,$B5)</f>
        <v>0.21812893843917699</v>
      </c>
      <c r="E5" s="4">
        <f>SUMIFS(Clean_Data!$F:$F,Clean_Data!$A:$A,$A5,Clean_Data!$C:$C,$B5)</f>
        <v>4.59</v>
      </c>
      <c r="F5" s="8">
        <f>SUMIFS(Clean_Data!$G:$G,Clean_Data!$A:$A,$A5,Clean_Data!$C:$C,$B5)</f>
        <v>1408975000</v>
      </c>
      <c r="H5" s="16"/>
    </row>
    <row r="6" spans="1:9" x14ac:dyDescent="0.3">
      <c r="A6" s="7" t="s">
        <v>31</v>
      </c>
      <c r="B6" s="5">
        <v>2024</v>
      </c>
      <c r="C6" s="6">
        <f>SUMIFS(Clean_Data!$D:$D,Clean_Data!$A:$A,$A6,Clean_Data!$C:$C,$B6)</f>
        <v>46103.084085588387</v>
      </c>
      <c r="D6" s="4">
        <f>SUMIFS(Clean_Data!$E:$E,Clean_Data!$A:$A,$A6,Clean_Data!$C:$C,$B6)</f>
        <v>1.99742599742599</v>
      </c>
      <c r="E6" s="4">
        <f>SUMIFS(Clean_Data!$F:$F,Clean_Data!$A:$A,$A6,Clean_Data!$C:$C,$B6)</f>
        <v>7.4</v>
      </c>
      <c r="F6" s="8">
        <f>SUMIFS(Clean_Data!$G:$G,Clean_Data!$A:$A,$A6,Clean_Data!$C:$C,$B6)</f>
        <v>68551653</v>
      </c>
      <c r="H6" s="16"/>
    </row>
    <row r="7" spans="1:9" x14ac:dyDescent="0.3">
      <c r="A7" s="7" t="s">
        <v>89</v>
      </c>
      <c r="B7" s="5">
        <v>2024</v>
      </c>
      <c r="C7" s="6">
        <f>SUMIFS(Clean_Data!$D:$D,Clean_Data!$A:$A,$A7,Clean_Data!$C:$C,$B7)</f>
        <v>56103.732318255446</v>
      </c>
      <c r="D7" s="4">
        <f>SUMIFS(Clean_Data!$E:$E,Clean_Data!$A:$A,$A7,Clean_Data!$C:$C,$B7)</f>
        <v>2.2564981433876001</v>
      </c>
      <c r="E7" s="4">
        <f>SUMIFS(Clean_Data!$F:$F,Clean_Data!$A:$A,$A7,Clean_Data!$C:$C,$B7)</f>
        <v>3.4</v>
      </c>
      <c r="F7" s="8">
        <f>SUMIFS(Clean_Data!$G:$G,Clean_Data!$A:$A,$A7,Clean_Data!$C:$C,$B7)</f>
        <v>83516593</v>
      </c>
      <c r="H7" s="16"/>
    </row>
    <row r="8" spans="1:9" x14ac:dyDescent="0.3">
      <c r="A8" s="7" t="s">
        <v>17</v>
      </c>
      <c r="B8" s="5">
        <v>2024</v>
      </c>
      <c r="C8" s="6">
        <f>SUMIFS(Clean_Data!$D:$D,Clean_Data!$A:$A,$A8,Clean_Data!$C:$C,$B8)</f>
        <v>2591.9916607121977</v>
      </c>
      <c r="D8" s="4">
        <f>SUMIFS(Clean_Data!$E:$E,Clean_Data!$A:$A,$A8,Clean_Data!$C:$C,$B8)</f>
        <v>4.9530355097366003</v>
      </c>
      <c r="E8" s="4">
        <f>SUMIFS(Clean_Data!$F:$F,Clean_Data!$A:$A,$A8,Clean_Data!$C:$C,$B8)</f>
        <v>4.173</v>
      </c>
      <c r="F8" s="8">
        <f>SUMIFS(Clean_Data!$G:$G,Clean_Data!$A:$A,$A8,Clean_Data!$C:$C,$B8)</f>
        <v>1450935791</v>
      </c>
      <c r="H8" s="16"/>
    </row>
    <row r="9" spans="1:9" x14ac:dyDescent="0.3">
      <c r="A9" s="7" t="s">
        <v>91</v>
      </c>
      <c r="B9" s="5">
        <v>2024</v>
      </c>
      <c r="C9" s="6">
        <f>SUMIFS(Clean_Data!$D:$D,Clean_Data!$A:$A,$A9,Clean_Data!$C:$C,$B9)</f>
        <v>4925.4364499266594</v>
      </c>
      <c r="D9" s="4">
        <f>SUMIFS(Clean_Data!$E:$E,Clean_Data!$A:$A,$A9,Clean_Data!$C:$C,$B9)</f>
        <v>2.18151273615188</v>
      </c>
      <c r="E9" s="4">
        <f>SUMIFS(Clean_Data!$F:$F,Clean_Data!$A:$A,$A9,Clean_Data!$C:$C,$B9)</f>
        <v>3.3010000000000002</v>
      </c>
      <c r="F9" s="8">
        <f>SUMIFS(Clean_Data!$G:$G,Clean_Data!$A:$A,$A9,Clean_Data!$C:$C,$B9)</f>
        <v>283487931</v>
      </c>
      <c r="H9" s="16"/>
    </row>
    <row r="10" spans="1:9" x14ac:dyDescent="0.3">
      <c r="A10" s="7" t="s">
        <v>120</v>
      </c>
      <c r="B10" s="5">
        <v>2024</v>
      </c>
      <c r="C10" s="6">
        <f>SUMIFS(Clean_Data!$D:$D,Clean_Data!$A:$A,$A10,Clean_Data!$C:$C,$B10)</f>
        <v>112894.95324080539</v>
      </c>
      <c r="D10" s="4">
        <f>SUMIFS(Clean_Data!$E:$E,Clean_Data!$A:$A,$A10,Clean_Data!$C:$C,$B10)</f>
        <v>2.1134499957731601</v>
      </c>
      <c r="E10" s="4">
        <f>SUMIFS(Clean_Data!$F:$F,Clean_Data!$A:$A,$A10,Clean_Data!$C:$C,$B10)</f>
        <v>4.3</v>
      </c>
      <c r="F10" s="8">
        <f>SUMIFS(Clean_Data!$G:$G,Clean_Data!$A:$A,$A10,Clean_Data!$C:$C,$B10)</f>
        <v>5395790</v>
      </c>
      <c r="H10" s="16"/>
    </row>
    <row r="11" spans="1:9" x14ac:dyDescent="0.3">
      <c r="A11" s="7" t="s">
        <v>4</v>
      </c>
      <c r="B11" s="5">
        <v>2024</v>
      </c>
      <c r="C11" s="6">
        <f>SUMIFS(Clean_Data!$D:$D,Clean_Data!$A:$A,$A11,Clean_Data!$C:$C,$B11)</f>
        <v>40429.622404735237</v>
      </c>
      <c r="D11" s="4">
        <f>SUMIFS(Clean_Data!$E:$E,Clean_Data!$A:$A,$A11,Clean_Data!$C:$C,$B11)</f>
        <v>0.98237511163771896</v>
      </c>
      <c r="E11" s="4">
        <f>SUMIFS(Clean_Data!$F:$F,Clean_Data!$A:$A,$A11,Clean_Data!$C:$C,$B11)</f>
        <v>6.5</v>
      </c>
      <c r="F11" s="8">
        <f>SUMIFS(Clean_Data!$G:$G,Clean_Data!$A:$A,$A11,Clean_Data!$C:$C,$B11)</f>
        <v>58952704</v>
      </c>
      <c r="H11" s="16"/>
    </row>
    <row r="12" spans="1:9" x14ac:dyDescent="0.3">
      <c r="A12" s="7" t="s">
        <v>14</v>
      </c>
      <c r="B12" s="5">
        <v>2024</v>
      </c>
      <c r="C12" s="6">
        <f>SUMIFS(Clean_Data!$D:$D,Clean_Data!$A:$A,$A12,Clean_Data!$C:$C,$B12)</f>
        <v>33797.10142878761</v>
      </c>
      <c r="D12" s="4">
        <f>SUMIFS(Clean_Data!$E:$E,Clean_Data!$A:$A,$A12,Clean_Data!$C:$C,$B12)</f>
        <v>2.7385368163524002</v>
      </c>
      <c r="E12" s="4">
        <f>SUMIFS(Clean_Data!$F:$F,Clean_Data!$A:$A,$A12,Clean_Data!$C:$C,$B12)</f>
        <v>2.5</v>
      </c>
      <c r="F12" s="8">
        <f>SUMIFS(Clean_Data!$G:$G,Clean_Data!$A:$A,$A12,Clean_Data!$C:$C,$B12)</f>
        <v>123975371</v>
      </c>
      <c r="H12" s="16"/>
    </row>
    <row r="13" spans="1:9" x14ac:dyDescent="0.3">
      <c r="A13" s="7" t="s">
        <v>103</v>
      </c>
      <c r="B13" s="5">
        <v>2024</v>
      </c>
      <c r="C13" s="6">
        <f>SUMIFS(Clean_Data!$D:$D,Clean_Data!$A:$A,$A13,Clean_Data!$C:$C,$B13)</f>
        <v>67465.32081268754</v>
      </c>
      <c r="D13" s="4">
        <f>SUMIFS(Clean_Data!$E:$E,Clean_Data!$A:$A,$A13,Clean_Data!$C:$C,$B13)</f>
        <v>3.3463989547502502</v>
      </c>
      <c r="E13" s="4">
        <f>SUMIFS(Clean_Data!$F:$F,Clean_Data!$A:$A,$A13,Clean_Data!$C:$C,$B13)</f>
        <v>3.7</v>
      </c>
      <c r="F13" s="8">
        <f>SUMIFS(Clean_Data!$G:$G,Clean_Data!$A:$A,$A13,Clean_Data!$C:$C,$B13)</f>
        <v>17993485</v>
      </c>
      <c r="H13" s="16"/>
    </row>
    <row r="14" spans="1:9" x14ac:dyDescent="0.3">
      <c r="A14" s="7" t="s">
        <v>5</v>
      </c>
      <c r="B14" s="5">
        <v>2024</v>
      </c>
      <c r="C14" s="6">
        <f>SUMIFS(Clean_Data!$D:$D,Clean_Data!$A:$A,$A14,Clean_Data!$C:$C,$B14)</f>
        <v>14961.8974609375</v>
      </c>
      <c r="D14" s="4">
        <f>SUMIFS(Clean_Data!$E:$E,Clean_Data!$A:$A,$A14,Clean_Data!$C:$C,$B14)</f>
        <v>8.4348641049672306</v>
      </c>
      <c r="E14" s="4">
        <f>SUMIFS(Clean_Data!$F:$F,Clean_Data!$A:$A,$A14,Clean_Data!$C:$C,$B14)</f>
        <v>2.4300000000000002</v>
      </c>
      <c r="F14" s="8">
        <f>SUMIFS(Clean_Data!$G:$G,Clean_Data!$A:$A,$A14,Clean_Data!$C:$C,$B14)</f>
        <v>143669648</v>
      </c>
      <c r="H14" s="16"/>
    </row>
    <row r="15" spans="1:9" x14ac:dyDescent="0.3">
      <c r="A15" s="7" t="s">
        <v>38</v>
      </c>
      <c r="B15" s="5">
        <v>2024</v>
      </c>
      <c r="C15" s="6">
        <f>SUMIFS(Clean_Data!$D:$D,Clean_Data!$A:$A,$A15,Clean_Data!$C:$C,$B15)</f>
        <v>6267.1868140930046</v>
      </c>
      <c r="D15" s="4">
        <f>SUMIFS(Clean_Data!$E:$E,Clean_Data!$A:$A,$A15,Clean_Data!$C:$C,$B15)</f>
        <v>4.3611524651896199</v>
      </c>
      <c r="E15" s="4">
        <f>SUMIFS(Clean_Data!$F:$F,Clean_Data!$A:$A,$A15,Clean_Data!$C:$C,$B15)</f>
        <v>32.279000000000003</v>
      </c>
      <c r="F15" s="8">
        <f>SUMIFS(Clean_Data!$G:$G,Clean_Data!$A:$A,$A15,Clean_Data!$C:$C,$B15)</f>
        <v>64007187</v>
      </c>
      <c r="H15" s="16"/>
    </row>
    <row r="16" spans="1:9" x14ac:dyDescent="0.3">
      <c r="A16" s="7" t="s">
        <v>53</v>
      </c>
      <c r="B16" s="5">
        <v>2024</v>
      </c>
      <c r="C16" s="6">
        <f>SUMIFS(Clean_Data!$D:$D,Clean_Data!$A:$A,$A16,Clean_Data!$C:$C,$B16)</f>
        <v>35326.768306927806</v>
      </c>
      <c r="D16" s="4">
        <f>SUMIFS(Clean_Data!$E:$E,Clean_Data!$A:$A,$A16,Clean_Data!$C:$C,$B16)</f>
        <v>2.7740698727587301</v>
      </c>
      <c r="E16" s="4">
        <f>SUMIFS(Clean_Data!$F:$F,Clean_Data!$A:$A,$A16,Clean_Data!$C:$C,$B16)</f>
        <v>11.4</v>
      </c>
      <c r="F16" s="8">
        <f>SUMIFS(Clean_Data!$G:$G,Clean_Data!$A:$A,$A16,Clean_Data!$C:$C,$B16)</f>
        <v>48848840</v>
      </c>
      <c r="H16" s="16"/>
    </row>
    <row r="17" spans="1:8" x14ac:dyDescent="0.3">
      <c r="A17" s="7" t="s">
        <v>2</v>
      </c>
      <c r="B17" s="5">
        <v>2024</v>
      </c>
      <c r="C17" s="6">
        <f>SUMIFS(Clean_Data!$D:$D,Clean_Data!$A:$A,$A17,Clean_Data!$C:$C,$B17)</f>
        <v>53341.31310942617</v>
      </c>
      <c r="D17" s="4">
        <f>SUMIFS(Clean_Data!$E:$E,Clean_Data!$A:$A,$A17,Clean_Data!$C:$C,$B17)</f>
        <v>3.2715729463591998</v>
      </c>
      <c r="E17" s="4">
        <f>SUMIFS(Clean_Data!$F:$F,Clean_Data!$A:$A,$A17,Clean_Data!$C:$C,$B17)</f>
        <v>4.3609999999999998</v>
      </c>
      <c r="F17" s="8">
        <f>SUMIFS(Clean_Data!$G:$G,Clean_Data!$A:$A,$A17,Clean_Data!$C:$C,$B17)</f>
        <v>69281000</v>
      </c>
      <c r="H17" s="16"/>
    </row>
    <row r="18" spans="1:8" x14ac:dyDescent="0.3">
      <c r="A18" s="9" t="s">
        <v>77</v>
      </c>
      <c r="B18" s="10">
        <v>2024</v>
      </c>
      <c r="C18" s="11">
        <f>SUMIFS(Clean_Data!$D:$D,Clean_Data!$A:$A,$A18,Clean_Data!$C:$C,$B18)</f>
        <v>86169.664158191736</v>
      </c>
      <c r="D18" s="12">
        <f>SUMIFS(Clean_Data!$E:$E,Clean_Data!$A:$A,$A18,Clean_Data!$C:$C,$B18)</f>
        <v>2.9495252048520699</v>
      </c>
      <c r="E18" s="12">
        <f>SUMIFS(Clean_Data!$F:$F,Clean_Data!$A:$A,$A18,Clean_Data!$C:$C,$B18)</f>
        <v>4.0220000000000002</v>
      </c>
      <c r="F18" s="13">
        <f>SUMIFS(Clean_Data!$G:$G,Clean_Data!$A:$A,$A18,Clean_Data!$C:$C,$B18)</f>
        <v>340003797</v>
      </c>
      <c r="H18" s="1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7B78-FAEB-424F-9440-9D454052569C}">
  <dimension ref="A1:T378"/>
  <sheetViews>
    <sheetView zoomScale="55" zoomScaleNormal="55" workbookViewId="0">
      <selection sqref="A1:F1"/>
    </sheetView>
  </sheetViews>
  <sheetFormatPr defaultRowHeight="14.4" x14ac:dyDescent="0.3"/>
  <cols>
    <col min="1" max="1" width="17.21875" customWidth="1"/>
    <col min="2" max="2" width="15.44140625" customWidth="1"/>
    <col min="3" max="3" width="20.5546875" customWidth="1"/>
    <col min="4" max="4" width="13.21875" customWidth="1"/>
    <col min="5" max="5" width="19.33203125" customWidth="1"/>
    <col min="6" max="6" width="16.6640625" bestFit="1" customWidth="1"/>
    <col min="9" max="10" width="17.77734375" bestFit="1" customWidth="1"/>
    <col min="11" max="11" width="15" bestFit="1" customWidth="1"/>
    <col min="12" max="12" width="19.33203125" customWidth="1"/>
    <col min="13" max="13" width="14.77734375" customWidth="1"/>
    <col min="18" max="18" width="11" customWidth="1"/>
    <col min="19" max="19" width="19.33203125" customWidth="1"/>
    <col min="20" max="20" width="21.109375" bestFit="1" customWidth="1"/>
  </cols>
  <sheetData>
    <row r="1" spans="1:20" ht="23.4" x14ac:dyDescent="0.45">
      <c r="A1" s="37" t="s">
        <v>131</v>
      </c>
      <c r="B1" s="37"/>
      <c r="C1" s="37"/>
      <c r="D1" s="37"/>
      <c r="E1" s="37"/>
      <c r="F1" s="37"/>
      <c r="G1" s="3"/>
      <c r="H1" s="3"/>
      <c r="I1" s="3"/>
      <c r="J1" s="3"/>
    </row>
    <row r="3" spans="1:20" x14ac:dyDescent="0.3">
      <c r="A3" t="s">
        <v>129</v>
      </c>
      <c r="B3" t="s">
        <v>124</v>
      </c>
      <c r="C3" t="s">
        <v>128</v>
      </c>
      <c r="D3" t="s">
        <v>125</v>
      </c>
      <c r="E3" t="s">
        <v>126</v>
      </c>
      <c r="F3" t="s">
        <v>127</v>
      </c>
      <c r="H3" t="s">
        <v>124</v>
      </c>
      <c r="I3" t="s">
        <v>17</v>
      </c>
      <c r="J3" t="s">
        <v>86</v>
      </c>
      <c r="K3" t="s">
        <v>89</v>
      </c>
      <c r="L3" t="s">
        <v>5</v>
      </c>
      <c r="M3" t="s">
        <v>77</v>
      </c>
      <c r="O3" t="s">
        <v>124</v>
      </c>
      <c r="P3" t="s">
        <v>17</v>
      </c>
      <c r="Q3" t="s">
        <v>86</v>
      </c>
      <c r="R3" t="s">
        <v>89</v>
      </c>
      <c r="S3" t="s">
        <v>5</v>
      </c>
      <c r="T3" t="s">
        <v>77</v>
      </c>
    </row>
    <row r="4" spans="1:20" x14ac:dyDescent="0.3">
      <c r="A4" t="str">
        <f>Clean_Data!A2</f>
        <v>Brazil</v>
      </c>
      <c r="B4">
        <f>Clean_Data!C2</f>
        <v>2000</v>
      </c>
      <c r="C4" s="19">
        <f>Clean_Data!D2</f>
        <v>3766.5481146603156</v>
      </c>
      <c r="D4" s="19">
        <f>Clean_Data!E2</f>
        <v>7.0441410594726497</v>
      </c>
      <c r="E4" s="20">
        <f>Clean_Data!F2</f>
        <v>10.888999999999999</v>
      </c>
      <c r="F4" s="21">
        <f>Clean_Data!G2</f>
        <v>174018282</v>
      </c>
      <c r="H4">
        <f>2000</f>
        <v>2000</v>
      </c>
      <c r="I4" s="19">
        <f t="shared" ref="I4:M13" si="0">SUMIFS($C$4:$C$378,$A$4:$A$378,I$3,$B$4:$B$378,$H4)</f>
        <v>442.75021893726324</v>
      </c>
      <c r="J4" s="19">
        <f t="shared" si="0"/>
        <v>969.19951369628666</v>
      </c>
      <c r="K4" s="19">
        <f t="shared" si="0"/>
        <v>23925.855990199114</v>
      </c>
      <c r="L4" s="19">
        <f t="shared" si="0"/>
        <v>1771.59411621094</v>
      </c>
      <c r="M4" s="19">
        <f t="shared" si="0"/>
        <v>36329.970259575079</v>
      </c>
      <c r="O4" s="18">
        <v>2000</v>
      </c>
      <c r="P4" s="19">
        <f t="shared" ref="P4:T13" si="1">SUMIFS($D$4:$D$378,$A$4:$A$378,P$3,$B$4:$B$378,$O4)</f>
        <v>4.0094359104519004</v>
      </c>
      <c r="Q4" s="19">
        <f t="shared" si="1"/>
        <v>0.34781122686458599</v>
      </c>
      <c r="R4" s="19">
        <f t="shared" si="1"/>
        <v>1.44026838719741</v>
      </c>
      <c r="S4" s="19">
        <f t="shared" si="1"/>
        <v>20.798760655870399</v>
      </c>
      <c r="T4" s="19">
        <f t="shared" si="1"/>
        <v>3.3768572714992899</v>
      </c>
    </row>
    <row r="5" spans="1:20" x14ac:dyDescent="0.3">
      <c r="A5" t="str">
        <f>Clean_Data!A3</f>
        <v>Brazil</v>
      </c>
      <c r="B5">
        <f>Clean_Data!C3</f>
        <v>2001</v>
      </c>
      <c r="C5" s="19">
        <f>Clean_Data!D3</f>
        <v>3176.2893574752361</v>
      </c>
      <c r="D5" s="19">
        <f>Clean_Data!E3</f>
        <v>6.8403590248752302</v>
      </c>
      <c r="E5" s="20">
        <f>Clean_Data!F3</f>
        <v>10.648999999999999</v>
      </c>
      <c r="F5" s="21">
        <f>Clean_Data!G3</f>
        <v>176301203</v>
      </c>
      <c r="H5">
        <f t="shared" ref="H5:H28" si="2">H4+1</f>
        <v>2001</v>
      </c>
      <c r="I5" s="19">
        <f t="shared" si="0"/>
        <v>450.35790051412818</v>
      </c>
      <c r="J5" s="19">
        <f t="shared" si="0"/>
        <v>1065.4059757451932</v>
      </c>
      <c r="K5" s="19">
        <f t="shared" si="0"/>
        <v>23878.364147165095</v>
      </c>
      <c r="L5" s="19">
        <f t="shared" si="0"/>
        <v>2100.3525390625</v>
      </c>
      <c r="M5" s="19">
        <f t="shared" si="0"/>
        <v>37133.620397351704</v>
      </c>
      <c r="O5" s="22">
        <f t="shared" ref="O5:O28" si="3">O4+1</f>
        <v>2001</v>
      </c>
      <c r="P5" s="19">
        <f t="shared" si="1"/>
        <v>3.7792931223563699</v>
      </c>
      <c r="Q5" s="19">
        <f t="shared" si="1"/>
        <v>0.71912560912011303</v>
      </c>
      <c r="R5" s="19">
        <f t="shared" si="1"/>
        <v>1.9838573133447099</v>
      </c>
      <c r="S5" s="19">
        <f t="shared" si="1"/>
        <v>21.477007211715801</v>
      </c>
      <c r="T5" s="19">
        <f t="shared" si="1"/>
        <v>2.8261711188540701</v>
      </c>
    </row>
    <row r="6" spans="1:20" x14ac:dyDescent="0.3">
      <c r="A6" t="str">
        <f>Clean_Data!A4</f>
        <v>Brazil</v>
      </c>
      <c r="B6">
        <f>Clean_Data!C4</f>
        <v>2002</v>
      </c>
      <c r="C6" s="19">
        <f>Clean_Data!D4</f>
        <v>2855.9401888576867</v>
      </c>
      <c r="D6" s="19">
        <f>Clean_Data!E4</f>
        <v>8.4501643770833095</v>
      </c>
      <c r="E6" s="20">
        <f>Clean_Data!F4</f>
        <v>10.641</v>
      </c>
      <c r="F6" s="21">
        <f>Clean_Data!G4</f>
        <v>178503484</v>
      </c>
      <c r="H6">
        <f t="shared" si="2"/>
        <v>2002</v>
      </c>
      <c r="I6" s="19">
        <f t="shared" si="0"/>
        <v>469.14992897392727</v>
      </c>
      <c r="J6" s="19">
        <f t="shared" si="0"/>
        <v>1163.5595767342556</v>
      </c>
      <c r="K6" s="19">
        <f t="shared" si="0"/>
        <v>25486.594200874752</v>
      </c>
      <c r="L6" s="19">
        <f t="shared" si="0"/>
        <v>2377.52954101563</v>
      </c>
      <c r="M6" s="19">
        <f t="shared" si="0"/>
        <v>37997.742430024198</v>
      </c>
      <c r="O6" s="22">
        <f t="shared" si="3"/>
        <v>2002</v>
      </c>
      <c r="P6" s="19">
        <f t="shared" si="1"/>
        <v>4.29715203929561</v>
      </c>
      <c r="Q6" s="19">
        <f t="shared" si="1"/>
        <v>-0.73197090235024298</v>
      </c>
      <c r="R6" s="19">
        <f t="shared" si="1"/>
        <v>1.42080615551526</v>
      </c>
      <c r="S6" s="19">
        <f t="shared" si="1"/>
        <v>15.7887307914462</v>
      </c>
      <c r="T6" s="19">
        <f t="shared" si="1"/>
        <v>1.5860316265060099</v>
      </c>
    </row>
    <row r="7" spans="1:20" x14ac:dyDescent="0.3">
      <c r="A7" t="str">
        <f>Clean_Data!A5</f>
        <v>Brazil</v>
      </c>
      <c r="B7">
        <f>Clean_Data!C5</f>
        <v>2003</v>
      </c>
      <c r="C7" s="19">
        <f>Clean_Data!D5</f>
        <v>3090.6070097454958</v>
      </c>
      <c r="D7" s="19">
        <f>Clean_Data!E5</f>
        <v>14.714919722814701</v>
      </c>
      <c r="E7" s="20">
        <f>Clean_Data!F5</f>
        <v>11.167999999999999</v>
      </c>
      <c r="F7" s="21">
        <f>Clean_Data!G5</f>
        <v>180622688</v>
      </c>
      <c r="H7">
        <f t="shared" si="2"/>
        <v>2003</v>
      </c>
      <c r="I7" s="19">
        <f t="shared" si="0"/>
        <v>544.14313354500223</v>
      </c>
      <c r="J7" s="19">
        <f t="shared" si="0"/>
        <v>1306.9724540855702</v>
      </c>
      <c r="K7" s="19">
        <f t="shared" si="0"/>
        <v>30711.102251133085</v>
      </c>
      <c r="L7" s="19">
        <f t="shared" si="0"/>
        <v>2975.123046875</v>
      </c>
      <c r="M7" s="19">
        <f t="shared" si="0"/>
        <v>39490.302390317607</v>
      </c>
      <c r="O7" s="22">
        <f t="shared" si="3"/>
        <v>2003</v>
      </c>
      <c r="P7" s="19">
        <f t="shared" si="1"/>
        <v>3.8058589952885198</v>
      </c>
      <c r="Q7" s="19">
        <f t="shared" si="1"/>
        <v>1.1276034872963701</v>
      </c>
      <c r="R7" s="19">
        <f t="shared" si="1"/>
        <v>1.03422218628562</v>
      </c>
      <c r="S7" s="19">
        <f t="shared" si="1"/>
        <v>13.663293022866499</v>
      </c>
      <c r="T7" s="19">
        <f t="shared" si="1"/>
        <v>2.27009497336114</v>
      </c>
    </row>
    <row r="8" spans="1:20" x14ac:dyDescent="0.3">
      <c r="A8" t="str">
        <f>Clean_Data!A6</f>
        <v>Brazil</v>
      </c>
      <c r="B8">
        <f>Clean_Data!C6</f>
        <v>2004</v>
      </c>
      <c r="C8" s="19">
        <f>Clean_Data!D6</f>
        <v>3663.8231880639996</v>
      </c>
      <c r="D8" s="19">
        <f>Clean_Data!E6</f>
        <v>6.5971850998596304</v>
      </c>
      <c r="E8" s="20">
        <f>Clean_Data!F6</f>
        <v>10.071999999999999</v>
      </c>
      <c r="F8" s="21">
        <f>Clean_Data!G6</f>
        <v>182675143</v>
      </c>
      <c r="H8">
        <f t="shared" si="2"/>
        <v>2004</v>
      </c>
      <c r="I8" s="19">
        <f t="shared" si="0"/>
        <v>624.25882651006611</v>
      </c>
      <c r="J8" s="19">
        <f t="shared" si="0"/>
        <v>1530.9272621572329</v>
      </c>
      <c r="K8" s="19">
        <f t="shared" si="0"/>
        <v>34566.73591437353</v>
      </c>
      <c r="L8" s="19">
        <f t="shared" si="0"/>
        <v>4102.36474609375</v>
      </c>
      <c r="M8" s="19">
        <f t="shared" si="0"/>
        <v>41724.641198261379</v>
      </c>
      <c r="O8" s="22">
        <f t="shared" si="3"/>
        <v>2004</v>
      </c>
      <c r="P8" s="19">
        <f t="shared" si="1"/>
        <v>3.7672517347751699</v>
      </c>
      <c r="Q8" s="19">
        <f t="shared" si="1"/>
        <v>3.82463743108159</v>
      </c>
      <c r="R8" s="19">
        <f t="shared" si="1"/>
        <v>1.66573696655991</v>
      </c>
      <c r="S8" s="19">
        <f t="shared" si="1"/>
        <v>10.888615732621499</v>
      </c>
      <c r="T8" s="19">
        <f t="shared" si="1"/>
        <v>2.67723669309171</v>
      </c>
    </row>
    <row r="9" spans="1:20" x14ac:dyDescent="0.3">
      <c r="A9" t="str">
        <f>Clean_Data!A7</f>
        <v>Brazil</v>
      </c>
      <c r="B9">
        <f>Clean_Data!C7</f>
        <v>2005</v>
      </c>
      <c r="C9" s="19">
        <f>Clean_Data!D7</f>
        <v>4827.7817307471414</v>
      </c>
      <c r="D9" s="19">
        <f>Clean_Data!E7</f>
        <v>6.86953720898964</v>
      </c>
      <c r="E9" s="20">
        <f>Clean_Data!F7</f>
        <v>10.551</v>
      </c>
      <c r="F9" s="21">
        <f>Clean_Data!G7</f>
        <v>184688101</v>
      </c>
      <c r="H9">
        <f t="shared" si="2"/>
        <v>2005</v>
      </c>
      <c r="I9" s="19">
        <f t="shared" si="0"/>
        <v>710.48808040894892</v>
      </c>
      <c r="J9" s="19">
        <f t="shared" si="0"/>
        <v>1777.644968284641</v>
      </c>
      <c r="K9" s="19">
        <f t="shared" si="0"/>
        <v>35084.436354626887</v>
      </c>
      <c r="L9" s="19">
        <f t="shared" si="0"/>
        <v>5323.455078125</v>
      </c>
      <c r="M9" s="19">
        <f t="shared" si="0"/>
        <v>44123.399647002567</v>
      </c>
      <c r="O9" s="22">
        <f t="shared" si="3"/>
        <v>2005</v>
      </c>
      <c r="P9" s="19">
        <f t="shared" si="1"/>
        <v>4.2463436203192302</v>
      </c>
      <c r="Q9" s="19">
        <f t="shared" si="1"/>
        <v>1.7764140766756999</v>
      </c>
      <c r="R9" s="19">
        <f t="shared" si="1"/>
        <v>1.54691114751328</v>
      </c>
      <c r="S9" s="19">
        <f t="shared" si="1"/>
        <v>12.6853039507349</v>
      </c>
      <c r="T9" s="19">
        <f t="shared" si="1"/>
        <v>3.3927468454955001</v>
      </c>
    </row>
    <row r="10" spans="1:20" x14ac:dyDescent="0.3">
      <c r="A10" t="str">
        <f>Clean_Data!A8</f>
        <v>Brazil</v>
      </c>
      <c r="B10">
        <f>Clean_Data!C8</f>
        <v>2006</v>
      </c>
      <c r="C10" s="19">
        <f>Clean_Data!D8</f>
        <v>5934.144709249681</v>
      </c>
      <c r="D10" s="19">
        <f>Clean_Data!E8</f>
        <v>4.1835681289690898</v>
      </c>
      <c r="E10" s="20">
        <f>Clean_Data!F8</f>
        <v>9.6920000000000002</v>
      </c>
      <c r="F10" s="21">
        <f>Clean_Data!G8</f>
        <v>186653106</v>
      </c>
      <c r="H10">
        <f t="shared" si="2"/>
        <v>2006</v>
      </c>
      <c r="I10" s="19">
        <f t="shared" si="0"/>
        <v>801.66835365902227</v>
      </c>
      <c r="J10" s="19">
        <f t="shared" si="0"/>
        <v>2129.2569699961318</v>
      </c>
      <c r="K10" s="19">
        <f t="shared" si="0"/>
        <v>36980.334994895376</v>
      </c>
      <c r="L10" s="19">
        <f t="shared" si="0"/>
        <v>6920.19970703125</v>
      </c>
      <c r="M10" s="19">
        <f t="shared" si="0"/>
        <v>46301.987648551891</v>
      </c>
      <c r="O10" s="22">
        <f t="shared" si="3"/>
        <v>2006</v>
      </c>
      <c r="P10" s="19">
        <f t="shared" si="1"/>
        <v>5.7965233756163297</v>
      </c>
      <c r="Q10" s="19">
        <f t="shared" si="1"/>
        <v>1.6494309945585901</v>
      </c>
      <c r="R10" s="19">
        <f t="shared" si="1"/>
        <v>1.5774264284056301</v>
      </c>
      <c r="S10" s="19">
        <f t="shared" si="1"/>
        <v>9.6686545478926398</v>
      </c>
      <c r="T10" s="19">
        <f t="shared" si="1"/>
        <v>3.2259441007040399</v>
      </c>
    </row>
    <row r="11" spans="1:20" x14ac:dyDescent="0.3">
      <c r="A11" t="str">
        <f>Clean_Data!A9</f>
        <v>Brazil</v>
      </c>
      <c r="B11">
        <f>Clean_Data!C9</f>
        <v>2007</v>
      </c>
      <c r="C11" s="19">
        <f>Clean_Data!D9</f>
        <v>7409.6913067347305</v>
      </c>
      <c r="D11" s="19">
        <f>Clean_Data!E9</f>
        <v>3.6412729910265198</v>
      </c>
      <c r="E11" s="20">
        <f>Clean_Data!F9</f>
        <v>9.2799999999999994</v>
      </c>
      <c r="F11" s="21">
        <f>Clean_Data!G9</f>
        <v>188552320</v>
      </c>
      <c r="H11">
        <f t="shared" si="2"/>
        <v>2007</v>
      </c>
      <c r="I11" s="19">
        <f t="shared" si="0"/>
        <v>1021.8870770682593</v>
      </c>
      <c r="J11" s="19">
        <f t="shared" si="0"/>
        <v>2734.7270987769271</v>
      </c>
      <c r="K11" s="19">
        <f t="shared" si="0"/>
        <v>42350.921721148872</v>
      </c>
      <c r="L11" s="19">
        <f t="shared" si="0"/>
        <v>9101.2392578125</v>
      </c>
      <c r="M11" s="19">
        <f t="shared" si="0"/>
        <v>48050.227412195047</v>
      </c>
      <c r="O11" s="22">
        <f t="shared" si="3"/>
        <v>2007</v>
      </c>
      <c r="P11" s="19">
        <f t="shared" si="1"/>
        <v>6.3728813559323099</v>
      </c>
      <c r="Q11" s="19">
        <f t="shared" si="1"/>
        <v>4.8167676737883403</v>
      </c>
      <c r="R11" s="19">
        <f t="shared" si="1"/>
        <v>2.2983440070094998</v>
      </c>
      <c r="S11" s="19">
        <f t="shared" si="1"/>
        <v>9.0072986886107902</v>
      </c>
      <c r="T11" s="19">
        <f t="shared" si="1"/>
        <v>2.8526724815013802</v>
      </c>
    </row>
    <row r="12" spans="1:20" x14ac:dyDescent="0.3">
      <c r="A12" t="str">
        <f>Clean_Data!A10</f>
        <v>Brazil</v>
      </c>
      <c r="B12">
        <f>Clean_Data!C10</f>
        <v>2008</v>
      </c>
      <c r="C12" s="19">
        <f>Clean_Data!D10</f>
        <v>8908.3317653864833</v>
      </c>
      <c r="D12" s="19">
        <f>Clean_Data!E10</f>
        <v>5.6785939028416799</v>
      </c>
      <c r="E12" s="20">
        <f>Clean_Data!F10</f>
        <v>8.2680000000000007</v>
      </c>
      <c r="F12" s="21">
        <f>Clean_Data!G10</f>
        <v>190367302</v>
      </c>
      <c r="H12">
        <f t="shared" si="2"/>
        <v>2008</v>
      </c>
      <c r="I12" s="19">
        <f t="shared" si="0"/>
        <v>992.51958492382755</v>
      </c>
      <c r="J12" s="19">
        <f t="shared" si="0"/>
        <v>3523.4430206521301</v>
      </c>
      <c r="K12" s="19">
        <f t="shared" si="0"/>
        <v>46379.164795347875</v>
      </c>
      <c r="L12" s="19">
        <f t="shared" si="0"/>
        <v>11635.2841796875</v>
      </c>
      <c r="M12" s="19">
        <f t="shared" si="0"/>
        <v>48570.05942696015</v>
      </c>
      <c r="O12" s="22">
        <f t="shared" si="3"/>
        <v>2008</v>
      </c>
      <c r="P12" s="19">
        <f t="shared" si="1"/>
        <v>8.3492670490757401</v>
      </c>
      <c r="Q12" s="19">
        <f t="shared" si="1"/>
        <v>5.9252513704109102</v>
      </c>
      <c r="R12" s="19">
        <f t="shared" si="1"/>
        <v>2.6283798163721901</v>
      </c>
      <c r="S12" s="19">
        <f t="shared" si="1"/>
        <v>14.110767784044199</v>
      </c>
      <c r="T12" s="19">
        <f t="shared" si="1"/>
        <v>3.8391002966509902</v>
      </c>
    </row>
    <row r="13" spans="1:20" x14ac:dyDescent="0.3">
      <c r="A13" t="str">
        <f>Clean_Data!A11</f>
        <v>Brazil</v>
      </c>
      <c r="B13">
        <f>Clean_Data!C11</f>
        <v>2009</v>
      </c>
      <c r="C13" s="19">
        <f>Clean_Data!D11</f>
        <v>8678.6592244675994</v>
      </c>
      <c r="D13" s="19">
        <f>Clean_Data!E11</f>
        <v>4.88803479876798</v>
      </c>
      <c r="E13" s="20">
        <f>Clean_Data!F11</f>
        <v>9.4190000000000005</v>
      </c>
      <c r="F13" s="21">
        <f>Clean_Data!G11</f>
        <v>192079951</v>
      </c>
      <c r="H13">
        <f t="shared" si="2"/>
        <v>2009</v>
      </c>
      <c r="I13" s="19">
        <f t="shared" si="0"/>
        <v>1094.9497459843622</v>
      </c>
      <c r="J13" s="19">
        <f t="shared" si="0"/>
        <v>3898.2445915881062</v>
      </c>
      <c r="K13" s="19">
        <f t="shared" si="0"/>
        <v>42471.88686252258</v>
      </c>
      <c r="L13" s="19">
        <f t="shared" si="0"/>
        <v>8562.82421875</v>
      </c>
      <c r="M13" s="19">
        <f t="shared" si="0"/>
        <v>47194.95008938721</v>
      </c>
      <c r="O13" s="22">
        <f t="shared" si="3"/>
        <v>2009</v>
      </c>
      <c r="P13" s="19">
        <f t="shared" si="1"/>
        <v>10.8823529411764</v>
      </c>
      <c r="Q13" s="19">
        <f t="shared" si="1"/>
        <v>-0.72816525093289797</v>
      </c>
      <c r="R13" s="19">
        <f t="shared" si="1"/>
        <v>0.31273900736844601</v>
      </c>
      <c r="S13" s="19">
        <f t="shared" si="1"/>
        <v>11.6473295764117</v>
      </c>
      <c r="T13" s="19">
        <f t="shared" si="1"/>
        <v>-0.355546266299747</v>
      </c>
    </row>
    <row r="14" spans="1:20" x14ac:dyDescent="0.3">
      <c r="A14" t="str">
        <f>Clean_Data!A12</f>
        <v>Brazil</v>
      </c>
      <c r="B14">
        <f>Clean_Data!C12</f>
        <v>2010</v>
      </c>
      <c r="C14" s="19">
        <f>Clean_Data!D12</f>
        <v>11403.282127874663</v>
      </c>
      <c r="D14" s="19">
        <f>Clean_Data!E12</f>
        <v>5.0387269010807403</v>
      </c>
      <c r="E14" s="20">
        <f>Clean_Data!F12</f>
        <v>8.42</v>
      </c>
      <c r="F14" s="21">
        <f>Clean_Data!G12</f>
        <v>193701929</v>
      </c>
      <c r="H14">
        <f t="shared" si="2"/>
        <v>2010</v>
      </c>
      <c r="I14" s="19">
        <f t="shared" ref="I14:M28" si="4">SUMIFS($C$4:$C$378,$A$4:$A$378,I$3,$B$4:$B$378,$H14)</f>
        <v>1347.5193907136679</v>
      </c>
      <c r="J14" s="19">
        <f t="shared" si="4"/>
        <v>4629.2455171007732</v>
      </c>
      <c r="K14" s="19">
        <f t="shared" si="4"/>
        <v>42396.966597629347</v>
      </c>
      <c r="L14" s="19">
        <f t="shared" si="4"/>
        <v>10674.990234375</v>
      </c>
      <c r="M14" s="19">
        <f t="shared" si="4"/>
        <v>48642.631208821302</v>
      </c>
      <c r="O14" s="22">
        <f t="shared" si="3"/>
        <v>2010</v>
      </c>
      <c r="P14" s="19">
        <f t="shared" ref="P14:T28" si="5">SUMIFS($D$4:$D$378,$A$4:$A$378,P$3,$B$4:$B$378,$O14)</f>
        <v>11.989389920424401</v>
      </c>
      <c r="Q14" s="19">
        <f t="shared" si="5"/>
        <v>3.1753247526919899</v>
      </c>
      <c r="R14" s="19">
        <f t="shared" si="5"/>
        <v>1.1038103778926001</v>
      </c>
      <c r="S14" s="19">
        <f t="shared" si="5"/>
        <v>6.8493923025502399</v>
      </c>
      <c r="T14" s="19">
        <f t="shared" si="5"/>
        <v>1.6400434423899</v>
      </c>
    </row>
    <row r="15" spans="1:20" x14ac:dyDescent="0.3">
      <c r="A15" t="str">
        <f>Clean_Data!A13</f>
        <v>Brazil</v>
      </c>
      <c r="B15">
        <f>Clean_Data!C13</f>
        <v>2011</v>
      </c>
      <c r="C15" s="19">
        <f>Clean_Data!D13</f>
        <v>13396.624356298567</v>
      </c>
      <c r="D15" s="19">
        <f>Clean_Data!E13</f>
        <v>6.6364496221309004</v>
      </c>
      <c r="E15" s="20">
        <f>Clean_Data!F13</f>
        <v>7.5780000000000003</v>
      </c>
      <c r="F15" s="21">
        <f>Clean_Data!G13</f>
        <v>195284734</v>
      </c>
      <c r="H15">
        <f t="shared" si="2"/>
        <v>2011</v>
      </c>
      <c r="I15" s="19">
        <f t="shared" si="4"/>
        <v>1445.4612748603658</v>
      </c>
      <c r="J15" s="19">
        <f t="shared" si="4"/>
        <v>5703.7602797334557</v>
      </c>
      <c r="K15" s="19">
        <f t="shared" si="4"/>
        <v>47630.976188357236</v>
      </c>
      <c r="L15" s="19">
        <f t="shared" si="4"/>
        <v>14305.33203125</v>
      </c>
      <c r="M15" s="19">
        <f t="shared" si="4"/>
        <v>50024.8812320773</v>
      </c>
      <c r="O15" s="22">
        <f t="shared" si="3"/>
        <v>2011</v>
      </c>
      <c r="P15" s="19">
        <f t="shared" si="5"/>
        <v>8.9117933648335992</v>
      </c>
      <c r="Q15" s="19">
        <f t="shared" si="5"/>
        <v>5.5538989225749296</v>
      </c>
      <c r="R15" s="19">
        <f t="shared" si="5"/>
        <v>2.0751728373587399</v>
      </c>
      <c r="S15" s="19">
        <f t="shared" si="5"/>
        <v>8.4404648593257008</v>
      </c>
      <c r="T15" s="19">
        <f t="shared" si="5"/>
        <v>3.1568415686220002</v>
      </c>
    </row>
    <row r="16" spans="1:20" x14ac:dyDescent="0.3">
      <c r="A16" t="str">
        <f>Clean_Data!A14</f>
        <v>Brazil</v>
      </c>
      <c r="B16">
        <f>Clean_Data!C14</f>
        <v>2012</v>
      </c>
      <c r="C16" s="19">
        <f>Clean_Data!D14</f>
        <v>12521.721351996648</v>
      </c>
      <c r="D16" s="19">
        <f>Clean_Data!E14</f>
        <v>5.4034991403699699</v>
      </c>
      <c r="E16" s="20">
        <f>Clean_Data!F14</f>
        <v>7.2510000000000003</v>
      </c>
      <c r="F16" s="21">
        <f>Clean_Data!G14</f>
        <v>196876111</v>
      </c>
      <c r="H16">
        <f t="shared" si="2"/>
        <v>2012</v>
      </c>
      <c r="I16" s="19">
        <f t="shared" si="4"/>
        <v>1429.321995200319</v>
      </c>
      <c r="J16" s="19">
        <f t="shared" si="4"/>
        <v>6405.0574241349032</v>
      </c>
      <c r="K16" s="19">
        <f t="shared" si="4"/>
        <v>44718.01592140687</v>
      </c>
      <c r="L16" s="19">
        <f t="shared" si="4"/>
        <v>15401.8515625</v>
      </c>
      <c r="M16" s="19">
        <f t="shared" si="4"/>
        <v>51708.394061408188</v>
      </c>
      <c r="O16" s="22">
        <f t="shared" si="3"/>
        <v>2012</v>
      </c>
      <c r="P16" s="19">
        <f t="shared" si="5"/>
        <v>9.4789969141979196</v>
      </c>
      <c r="Q16" s="19">
        <f t="shared" si="5"/>
        <v>2.6195243264553998</v>
      </c>
      <c r="R16" s="19">
        <f t="shared" si="5"/>
        <v>2.0084888478295602</v>
      </c>
      <c r="S16" s="19">
        <f t="shared" si="5"/>
        <v>5.0747430079914899</v>
      </c>
      <c r="T16" s="19">
        <f t="shared" si="5"/>
        <v>2.0693372652606601</v>
      </c>
    </row>
    <row r="17" spans="1:20" x14ac:dyDescent="0.3">
      <c r="A17" t="str">
        <f>Clean_Data!A15</f>
        <v>Brazil</v>
      </c>
      <c r="B17">
        <f>Clean_Data!C15</f>
        <v>2013</v>
      </c>
      <c r="C17" s="19">
        <f>Clean_Data!D15</f>
        <v>12458.891213881299</v>
      </c>
      <c r="D17" s="19">
        <f>Clean_Data!E15</f>
        <v>6.2043106664009997</v>
      </c>
      <c r="E17" s="20">
        <f>Clean_Data!F15</f>
        <v>7.0709999999999997</v>
      </c>
      <c r="F17" s="21">
        <f>Clean_Data!G15</f>
        <v>198478299</v>
      </c>
      <c r="H17">
        <f t="shared" si="2"/>
        <v>2013</v>
      </c>
      <c r="I17" s="19">
        <f t="shared" si="4"/>
        <v>1432.843975121953</v>
      </c>
      <c r="J17" s="19">
        <f t="shared" si="4"/>
        <v>7147.0351862234411</v>
      </c>
      <c r="K17" s="19">
        <f t="shared" si="4"/>
        <v>47206.83535142419</v>
      </c>
      <c r="L17" s="19">
        <f t="shared" si="4"/>
        <v>15941.4482421875</v>
      </c>
      <c r="M17" s="19">
        <f t="shared" si="4"/>
        <v>53297.386290159528</v>
      </c>
      <c r="O17" s="22">
        <f t="shared" si="3"/>
        <v>2013</v>
      </c>
      <c r="P17" s="19">
        <f t="shared" si="5"/>
        <v>10.0178784746104</v>
      </c>
      <c r="Q17" s="19">
        <f t="shared" si="5"/>
        <v>2.62105001748114</v>
      </c>
      <c r="R17" s="19">
        <f t="shared" si="5"/>
        <v>1.5047233025187601</v>
      </c>
      <c r="S17" s="19">
        <f t="shared" si="5"/>
        <v>6.7546683390348603</v>
      </c>
      <c r="T17" s="19">
        <f t="shared" si="5"/>
        <v>1.46483265562716</v>
      </c>
    </row>
    <row r="18" spans="1:20" x14ac:dyDescent="0.3">
      <c r="A18" t="str">
        <f>Clean_Data!A16</f>
        <v>Brazil</v>
      </c>
      <c r="B18">
        <f>Clean_Data!C16</f>
        <v>2014</v>
      </c>
      <c r="C18" s="19">
        <f>Clean_Data!D16</f>
        <v>12274.993968936304</v>
      </c>
      <c r="D18" s="19">
        <f>Clean_Data!E16</f>
        <v>6.3290401551613797</v>
      </c>
      <c r="E18" s="20">
        <f>Clean_Data!F16</f>
        <v>6.7549999999999999</v>
      </c>
      <c r="F18" s="21">
        <f>Clean_Data!G16</f>
        <v>200085127</v>
      </c>
      <c r="H18">
        <f t="shared" si="2"/>
        <v>2014</v>
      </c>
      <c r="I18" s="19">
        <f t="shared" si="4"/>
        <v>1553.8839607511832</v>
      </c>
      <c r="J18" s="19">
        <f t="shared" si="4"/>
        <v>7781.0659748497383</v>
      </c>
      <c r="K18" s="19">
        <f t="shared" si="4"/>
        <v>48959.599120313287</v>
      </c>
      <c r="L18" s="19">
        <f t="shared" si="4"/>
        <v>14055.47265625</v>
      </c>
      <c r="M18" s="19">
        <f t="shared" si="4"/>
        <v>55153.394018296698</v>
      </c>
      <c r="O18" s="22">
        <f t="shared" si="3"/>
        <v>2014</v>
      </c>
      <c r="P18" s="19">
        <f t="shared" si="5"/>
        <v>6.6656567186789903</v>
      </c>
      <c r="Q18" s="19">
        <f t="shared" si="5"/>
        <v>1.9216416278852</v>
      </c>
      <c r="R18" s="19">
        <f t="shared" si="5"/>
        <v>0.90679400043424496</v>
      </c>
      <c r="S18" s="19">
        <f t="shared" si="5"/>
        <v>7.8201697001384396</v>
      </c>
      <c r="T18" s="19">
        <f t="shared" si="5"/>
        <v>1.62222297740817</v>
      </c>
    </row>
    <row r="19" spans="1:20" x14ac:dyDescent="0.3">
      <c r="A19" t="str">
        <f>Clean_Data!A17</f>
        <v>Brazil</v>
      </c>
      <c r="B19">
        <f>Clean_Data!C17</f>
        <v>2015</v>
      </c>
      <c r="C19" s="19">
        <f>Clean_Data!D17</f>
        <v>8936.1966171211279</v>
      </c>
      <c r="D19" s="19">
        <f>Clean_Data!E17</f>
        <v>9.0299010241613598</v>
      </c>
      <c r="E19" s="20">
        <f>Clean_Data!F17</f>
        <v>8.5380000000000003</v>
      </c>
      <c r="F19" s="21">
        <f>Clean_Data!G17</f>
        <v>201675532</v>
      </c>
      <c r="H19">
        <f t="shared" si="2"/>
        <v>2015</v>
      </c>
      <c r="I19" s="19">
        <f t="shared" si="4"/>
        <v>1583.9981590798479</v>
      </c>
      <c r="J19" s="19">
        <f t="shared" si="4"/>
        <v>8175.3328507739288</v>
      </c>
      <c r="K19" s="19">
        <f t="shared" si="4"/>
        <v>41929.754911072167</v>
      </c>
      <c r="L19" s="19">
        <f t="shared" si="4"/>
        <v>9277.7138671875</v>
      </c>
      <c r="M19" s="19">
        <f t="shared" si="4"/>
        <v>56849.46979231594</v>
      </c>
      <c r="O19" s="22">
        <f t="shared" si="3"/>
        <v>2015</v>
      </c>
      <c r="P19" s="19">
        <f t="shared" si="5"/>
        <v>4.9069734412724904</v>
      </c>
      <c r="Q19" s="19">
        <f t="shared" si="5"/>
        <v>1.4370238093565399</v>
      </c>
      <c r="R19" s="19">
        <f t="shared" si="5"/>
        <v>0.51442613712545604</v>
      </c>
      <c r="S19" s="19">
        <f t="shared" si="5"/>
        <v>15.534395993570101</v>
      </c>
      <c r="T19" s="19">
        <f t="shared" si="5"/>
        <v>0.11862713555245</v>
      </c>
    </row>
    <row r="20" spans="1:20" x14ac:dyDescent="0.3">
      <c r="A20" t="str">
        <f>Clean_Data!A18</f>
        <v>Brazil</v>
      </c>
      <c r="B20">
        <f>Clean_Data!C18</f>
        <v>2016</v>
      </c>
      <c r="C20" s="19">
        <f>Clean_Data!D18</f>
        <v>8836.2865273565749</v>
      </c>
      <c r="D20" s="19">
        <f>Clean_Data!E18</f>
        <v>8.7391435232939294</v>
      </c>
      <c r="E20" s="20">
        <f>Clean_Data!F18</f>
        <v>11.58</v>
      </c>
      <c r="F20" s="21">
        <f>Clean_Data!G18</f>
        <v>203218114</v>
      </c>
      <c r="H20">
        <f t="shared" si="2"/>
        <v>2016</v>
      </c>
      <c r="I20" s="19">
        <f t="shared" si="4"/>
        <v>1707.5089291224338</v>
      </c>
      <c r="J20" s="19">
        <f t="shared" si="4"/>
        <v>8254.8685932035678</v>
      </c>
      <c r="K20" s="19">
        <f t="shared" si="4"/>
        <v>42948.938193269365</v>
      </c>
      <c r="L20" s="19">
        <f t="shared" si="4"/>
        <v>8663.158203125</v>
      </c>
      <c r="M20" s="19">
        <f t="shared" si="4"/>
        <v>57976.628204291039</v>
      </c>
      <c r="O20" s="22">
        <f t="shared" si="3"/>
        <v>2016</v>
      </c>
      <c r="P20" s="19">
        <f t="shared" si="5"/>
        <v>4.9482163406213404</v>
      </c>
      <c r="Q20" s="19">
        <f t="shared" si="5"/>
        <v>2.00000182191943</v>
      </c>
      <c r="R20" s="19">
        <f t="shared" si="5"/>
        <v>0.49174700844517399</v>
      </c>
      <c r="S20" s="19">
        <f t="shared" si="5"/>
        <v>7.0424372541370701</v>
      </c>
      <c r="T20" s="19">
        <f t="shared" si="5"/>
        <v>1.26158320570535</v>
      </c>
    </row>
    <row r="21" spans="1:20" x14ac:dyDescent="0.3">
      <c r="A21" t="str">
        <f>Clean_Data!A19</f>
        <v>Brazil</v>
      </c>
      <c r="B21">
        <f>Clean_Data!C19</f>
        <v>2017</v>
      </c>
      <c r="C21" s="19">
        <f>Clean_Data!D19</f>
        <v>10080.509281930525</v>
      </c>
      <c r="D21" s="19">
        <f>Clean_Data!E19</f>
        <v>3.4463733503266898</v>
      </c>
      <c r="E21" s="20">
        <f>Clean_Data!F19</f>
        <v>12.792</v>
      </c>
      <c r="F21" s="21">
        <f>Clean_Data!G19</f>
        <v>204703445</v>
      </c>
      <c r="H21">
        <f t="shared" si="2"/>
        <v>2017</v>
      </c>
      <c r="I21" s="19">
        <f t="shared" si="4"/>
        <v>1950.1046828086635</v>
      </c>
      <c r="J21" s="19">
        <f t="shared" si="4"/>
        <v>8979.6765270985634</v>
      </c>
      <c r="K21" s="19">
        <f t="shared" si="4"/>
        <v>45553.934149533859</v>
      </c>
      <c r="L21" s="19">
        <f t="shared" si="4"/>
        <v>10658.9130859375</v>
      </c>
      <c r="M21" s="19">
        <f t="shared" si="4"/>
        <v>60047.719072830689</v>
      </c>
      <c r="O21" s="22">
        <f t="shared" si="3"/>
        <v>2017</v>
      </c>
      <c r="P21" s="19">
        <f t="shared" si="5"/>
        <v>3.3281733746130402</v>
      </c>
      <c r="Q21" s="19">
        <f t="shared" si="5"/>
        <v>1.59313600071435</v>
      </c>
      <c r="R21" s="19">
        <f t="shared" si="5"/>
        <v>1.50949485109628</v>
      </c>
      <c r="S21" s="19">
        <f t="shared" si="5"/>
        <v>3.6833307233449499</v>
      </c>
      <c r="T21" s="19">
        <f t="shared" si="5"/>
        <v>2.1301100036596101</v>
      </c>
    </row>
    <row r="22" spans="1:20" x14ac:dyDescent="0.3">
      <c r="A22" t="str">
        <f>Clean_Data!A20</f>
        <v>Brazil</v>
      </c>
      <c r="B22">
        <f>Clean_Data!C20</f>
        <v>2018</v>
      </c>
      <c r="C22" s="19">
        <f>Clean_Data!D20</f>
        <v>9300.6616492321864</v>
      </c>
      <c r="D22" s="19">
        <f>Clean_Data!E20</f>
        <v>3.6648502837672798</v>
      </c>
      <c r="E22" s="20">
        <f>Clean_Data!F20</f>
        <v>12.329000000000001</v>
      </c>
      <c r="F22" s="21">
        <f>Clean_Data!G20</f>
        <v>206107261</v>
      </c>
      <c r="H22">
        <f t="shared" si="2"/>
        <v>2018</v>
      </c>
      <c r="I22" s="19">
        <f t="shared" si="4"/>
        <v>1966.2545517167889</v>
      </c>
      <c r="J22" s="19">
        <f t="shared" si="4"/>
        <v>10085.663814881918</v>
      </c>
      <c r="K22" s="19">
        <f t="shared" si="4"/>
        <v>48916.16866121543</v>
      </c>
      <c r="L22" s="19">
        <f t="shared" si="4"/>
        <v>11211.8876953125</v>
      </c>
      <c r="M22" s="19">
        <f t="shared" si="4"/>
        <v>62875.666138272842</v>
      </c>
      <c r="O22" s="22">
        <f t="shared" si="3"/>
        <v>2018</v>
      </c>
      <c r="P22" s="19">
        <f t="shared" si="5"/>
        <v>3.9388264669164199</v>
      </c>
      <c r="Q22" s="19">
        <f t="shared" si="5"/>
        <v>2.0747903996557602</v>
      </c>
      <c r="R22" s="19">
        <f t="shared" si="5"/>
        <v>1.73216879766941</v>
      </c>
      <c r="S22" s="19">
        <f t="shared" si="5"/>
        <v>2.8783138261498</v>
      </c>
      <c r="T22" s="19">
        <f t="shared" si="5"/>
        <v>2.4425832969281598</v>
      </c>
    </row>
    <row r="23" spans="1:20" x14ac:dyDescent="0.3">
      <c r="A23" t="str">
        <f>Clean_Data!A21</f>
        <v>Brazil</v>
      </c>
      <c r="B23">
        <f>Clean_Data!C21</f>
        <v>2019</v>
      </c>
      <c r="C23" s="19">
        <f>Clean_Data!D21</f>
        <v>9029.8332668107323</v>
      </c>
      <c r="D23" s="19">
        <f>Clean_Data!E21</f>
        <v>3.7329762121689298</v>
      </c>
      <c r="E23" s="20">
        <f>Clean_Data!F21</f>
        <v>11.936</v>
      </c>
      <c r="F23" s="21">
        <f>Clean_Data!G21</f>
        <v>207455459</v>
      </c>
      <c r="H23">
        <f t="shared" si="2"/>
        <v>2019</v>
      </c>
      <c r="I23" s="19">
        <f t="shared" si="4"/>
        <v>2041.4286369858535</v>
      </c>
      <c r="J23" s="19">
        <f t="shared" si="4"/>
        <v>10342.90095243346</v>
      </c>
      <c r="K23" s="19">
        <f t="shared" si="4"/>
        <v>47656.199739747026</v>
      </c>
      <c r="L23" s="19">
        <f t="shared" si="4"/>
        <v>11447.701171875</v>
      </c>
      <c r="M23" s="19">
        <f t="shared" si="4"/>
        <v>65227.95659110383</v>
      </c>
      <c r="O23" s="22">
        <f t="shared" si="3"/>
        <v>2019</v>
      </c>
      <c r="P23" s="19">
        <f t="shared" si="5"/>
        <v>3.7295057353912302</v>
      </c>
      <c r="Q23" s="19">
        <f t="shared" si="5"/>
        <v>2.89923416358226</v>
      </c>
      <c r="R23" s="19">
        <f t="shared" si="5"/>
        <v>1.4456597688825299</v>
      </c>
      <c r="S23" s="19">
        <f t="shared" si="5"/>
        <v>4.4720263183790303</v>
      </c>
      <c r="T23" s="19">
        <f t="shared" si="5"/>
        <v>1.8122100752601999</v>
      </c>
    </row>
    <row r="24" spans="1:20" x14ac:dyDescent="0.3">
      <c r="A24" t="str">
        <f>Clean_Data!A22</f>
        <v>Brazil</v>
      </c>
      <c r="B24">
        <f>Clean_Data!C22</f>
        <v>2020</v>
      </c>
      <c r="C24" s="19">
        <f>Clean_Data!D22</f>
        <v>7074.1937833764405</v>
      </c>
      <c r="D24" s="19">
        <f>Clean_Data!E22</f>
        <v>3.2117680380337599</v>
      </c>
      <c r="E24" s="20">
        <f>Clean_Data!F22</f>
        <v>13.696999999999999</v>
      </c>
      <c r="F24" s="21">
        <f>Clean_Data!G22</f>
        <v>208660842</v>
      </c>
      <c r="H24">
        <f t="shared" si="2"/>
        <v>2020</v>
      </c>
      <c r="I24" s="19">
        <f t="shared" si="4"/>
        <v>1907.042516376687</v>
      </c>
      <c r="J24" s="19">
        <f t="shared" si="4"/>
        <v>10627.463798961868</v>
      </c>
      <c r="K24" s="19">
        <f t="shared" si="4"/>
        <v>47394.873450446918</v>
      </c>
      <c r="L24" s="19">
        <f t="shared" si="4"/>
        <v>10108.3271484375</v>
      </c>
      <c r="M24" s="19">
        <f t="shared" si="4"/>
        <v>64465.297141574825</v>
      </c>
      <c r="O24" s="22">
        <f t="shared" si="3"/>
        <v>2020</v>
      </c>
      <c r="P24" s="19">
        <f t="shared" si="5"/>
        <v>6.6234367762852902</v>
      </c>
      <c r="Q24" s="19">
        <f t="shared" si="5"/>
        <v>2.4194218945778201</v>
      </c>
      <c r="R24" s="19">
        <f t="shared" si="5"/>
        <v>0.14487792581398101</v>
      </c>
      <c r="S24" s="19">
        <f t="shared" si="5"/>
        <v>3.3821979694806701</v>
      </c>
      <c r="T24" s="19">
        <f t="shared" si="5"/>
        <v>1.23358439630629</v>
      </c>
    </row>
    <row r="25" spans="1:20" x14ac:dyDescent="0.3">
      <c r="A25" t="str">
        <f>Clean_Data!A23</f>
        <v>Brazil</v>
      </c>
      <c r="B25">
        <f>Clean_Data!C23</f>
        <v>2021</v>
      </c>
      <c r="C25" s="19">
        <f>Clean_Data!D23</f>
        <v>7972.5366498645981</v>
      </c>
      <c r="D25" s="19">
        <f>Clean_Data!E23</f>
        <v>8.3016597558567309</v>
      </c>
      <c r="E25" s="20">
        <f>Clean_Data!F23</f>
        <v>13.157999999999999</v>
      </c>
      <c r="F25" s="21">
        <f>Clean_Data!G23</f>
        <v>209550294</v>
      </c>
      <c r="H25">
        <f t="shared" si="2"/>
        <v>2021</v>
      </c>
      <c r="I25" s="19">
        <f t="shared" si="4"/>
        <v>2239.6138436748224</v>
      </c>
      <c r="J25" s="19">
        <f t="shared" si="4"/>
        <v>12887.435724294062</v>
      </c>
      <c r="K25" s="19">
        <f t="shared" si="4"/>
        <v>52349.245999442217</v>
      </c>
      <c r="L25" s="19">
        <f t="shared" si="4"/>
        <v>12425.029296875</v>
      </c>
      <c r="M25" s="19">
        <f t="shared" si="4"/>
        <v>71441.231980594675</v>
      </c>
      <c r="O25" s="22">
        <f t="shared" si="3"/>
        <v>2021</v>
      </c>
      <c r="P25" s="19">
        <f t="shared" si="5"/>
        <v>5.1314074717636302</v>
      </c>
      <c r="Q25" s="19">
        <f t="shared" si="5"/>
        <v>0.98101513554488096</v>
      </c>
      <c r="R25" s="19">
        <f t="shared" si="5"/>
        <v>3.0666666666667299</v>
      </c>
      <c r="S25" s="19">
        <f t="shared" si="5"/>
        <v>6.6944589195761202</v>
      </c>
      <c r="T25" s="19">
        <f t="shared" si="5"/>
        <v>4.6978588636374203</v>
      </c>
    </row>
    <row r="26" spans="1:20" x14ac:dyDescent="0.3">
      <c r="A26" t="str">
        <f>Clean_Data!A24</f>
        <v>Brazil</v>
      </c>
      <c r="B26">
        <f>Clean_Data!C24</f>
        <v>2022</v>
      </c>
      <c r="C26" s="19">
        <f>Clean_Data!D24</f>
        <v>9281.33334441234</v>
      </c>
      <c r="D26" s="19">
        <f>Clean_Data!E24</f>
        <v>9.2801060895687204</v>
      </c>
      <c r="E26" s="20">
        <f>Clean_Data!F24</f>
        <v>9.2309999999999999</v>
      </c>
      <c r="F26" s="21">
        <f>Clean_Data!G24</f>
        <v>210306415</v>
      </c>
      <c r="H26">
        <f t="shared" si="2"/>
        <v>2022</v>
      </c>
      <c r="I26" s="19">
        <f t="shared" si="4"/>
        <v>2279.9814571936909</v>
      </c>
      <c r="J26" s="19">
        <f t="shared" si="4"/>
        <v>12970.605641432652</v>
      </c>
      <c r="K26" s="19">
        <f t="shared" si="4"/>
        <v>50506.517963854327</v>
      </c>
      <c r="L26" s="19">
        <f t="shared" si="4"/>
        <v>15625.6328125</v>
      </c>
      <c r="M26" s="19">
        <f t="shared" si="4"/>
        <v>78008.689581187704</v>
      </c>
      <c r="O26" s="22">
        <f t="shared" si="3"/>
        <v>2022</v>
      </c>
      <c r="P26" s="19">
        <f t="shared" si="5"/>
        <v>6.6990341407985703</v>
      </c>
      <c r="Q26" s="19">
        <f t="shared" si="5"/>
        <v>1.9735755573905001</v>
      </c>
      <c r="R26" s="19">
        <f t="shared" si="5"/>
        <v>6.8725743855109602</v>
      </c>
      <c r="S26" s="19">
        <f t="shared" si="5"/>
        <v>13.743679739823101</v>
      </c>
      <c r="T26" s="19">
        <f t="shared" si="5"/>
        <v>8.0027998205212096</v>
      </c>
    </row>
    <row r="27" spans="1:20" x14ac:dyDescent="0.3">
      <c r="A27" t="str">
        <f>Clean_Data!A25</f>
        <v>Brazil</v>
      </c>
      <c r="B27">
        <f>Clean_Data!C25</f>
        <v>2023</v>
      </c>
      <c r="C27" s="19">
        <f>Clean_Data!D25</f>
        <v>10377.589279255684</v>
      </c>
      <c r="D27" s="19">
        <f>Clean_Data!E25</f>
        <v>4.5935628228320304</v>
      </c>
      <c r="E27" s="20">
        <f>Clean_Data!F25</f>
        <v>7.9470000000000001</v>
      </c>
      <c r="F27" s="21">
        <f>Clean_Data!G25</f>
        <v>211140729</v>
      </c>
      <c r="H27">
        <f t="shared" si="2"/>
        <v>2023</v>
      </c>
      <c r="I27" s="19">
        <f t="shared" si="4"/>
        <v>2434.4482634098913</v>
      </c>
      <c r="J27" s="19">
        <f t="shared" si="4"/>
        <v>12951.178239704273</v>
      </c>
      <c r="K27" s="19">
        <f t="shared" si="4"/>
        <v>54776.766823549093</v>
      </c>
      <c r="L27" s="19">
        <f t="shared" si="4"/>
        <v>13986.9951171875</v>
      </c>
      <c r="M27" s="19">
        <f t="shared" si="4"/>
        <v>82586.784770789425</v>
      </c>
      <c r="O27" s="22">
        <f t="shared" si="3"/>
        <v>2023</v>
      </c>
      <c r="P27" s="19">
        <f t="shared" si="5"/>
        <v>5.6491431890792496</v>
      </c>
      <c r="Q27" s="19">
        <f t="shared" si="5"/>
        <v>0.23483682889304999</v>
      </c>
      <c r="R27" s="19">
        <f t="shared" si="5"/>
        <v>5.9464366772582302</v>
      </c>
      <c r="S27" s="19">
        <f t="shared" si="5"/>
        <v>5.8657193174896696</v>
      </c>
      <c r="T27" s="19">
        <f t="shared" si="5"/>
        <v>4.1163383837448704</v>
      </c>
    </row>
    <row r="28" spans="1:20" x14ac:dyDescent="0.3">
      <c r="A28" t="str">
        <f>Clean_Data!A26</f>
        <v>Brazil</v>
      </c>
      <c r="B28">
        <f>Clean_Data!C26</f>
        <v>2024</v>
      </c>
      <c r="C28" s="19">
        <f>Clean_Data!D26</f>
        <v>10310.548697369348</v>
      </c>
      <c r="D28" s="19">
        <f>Clean_Data!E26</f>
        <v>4.3674640765233601</v>
      </c>
      <c r="E28" s="20">
        <f>Clean_Data!F26</f>
        <v>6.8010000000000002</v>
      </c>
      <c r="F28" s="21">
        <f>Clean_Data!G26</f>
        <v>211998573</v>
      </c>
      <c r="H28">
        <f t="shared" si="2"/>
        <v>2024</v>
      </c>
      <c r="I28" s="19">
        <f t="shared" si="4"/>
        <v>2591.9916607121977</v>
      </c>
      <c r="J28" s="19">
        <f t="shared" si="4"/>
        <v>13293.116226936598</v>
      </c>
      <c r="K28" s="19">
        <f t="shared" si="4"/>
        <v>56103.732318255446</v>
      </c>
      <c r="L28" s="19">
        <f t="shared" si="4"/>
        <v>14961.8974609375</v>
      </c>
      <c r="M28" s="19">
        <f t="shared" si="4"/>
        <v>86169.664158191736</v>
      </c>
      <c r="O28" s="22">
        <f t="shared" si="3"/>
        <v>2024</v>
      </c>
      <c r="P28" s="19">
        <f t="shared" si="5"/>
        <v>4.9530355097366003</v>
      </c>
      <c r="Q28" s="19">
        <f t="shared" si="5"/>
        <v>0.21812893843917699</v>
      </c>
      <c r="R28" s="19">
        <f t="shared" si="5"/>
        <v>2.2564981433876001</v>
      </c>
      <c r="S28" s="19">
        <f t="shared" si="5"/>
        <v>8.4348641049672306</v>
      </c>
      <c r="T28" s="19">
        <f t="shared" si="5"/>
        <v>2.9495252048520699</v>
      </c>
    </row>
    <row r="29" spans="1:20" x14ac:dyDescent="0.3">
      <c r="A29" t="str">
        <f>Clean_Data!A27</f>
        <v>China</v>
      </c>
      <c r="B29">
        <f>Clean_Data!C27</f>
        <v>2000</v>
      </c>
      <c r="C29" s="19">
        <f>Clean_Data!D27</f>
        <v>969.19951369628666</v>
      </c>
      <c r="D29" s="19">
        <f>Clean_Data!E27</f>
        <v>0.34781122686458599</v>
      </c>
      <c r="E29" s="20">
        <f>Clean_Data!F27</f>
        <v>3.26</v>
      </c>
      <c r="F29" s="21">
        <f>Clean_Data!G27</f>
        <v>1262645000</v>
      </c>
    </row>
    <row r="30" spans="1:20" x14ac:dyDescent="0.3">
      <c r="A30" t="str">
        <f>Clean_Data!A28</f>
        <v>China</v>
      </c>
      <c r="B30">
        <f>Clean_Data!C28</f>
        <v>2001</v>
      </c>
      <c r="C30" s="19">
        <f>Clean_Data!D28</f>
        <v>1065.4059757451932</v>
      </c>
      <c r="D30" s="19">
        <f>Clean_Data!E28</f>
        <v>0.71912560912011303</v>
      </c>
      <c r="E30" s="20">
        <f>Clean_Data!F28</f>
        <v>3.8</v>
      </c>
      <c r="F30" s="21">
        <f>Clean_Data!G28</f>
        <v>1271850000</v>
      </c>
    </row>
    <row r="31" spans="1:20" x14ac:dyDescent="0.3">
      <c r="A31" t="str">
        <f>Clean_Data!A29</f>
        <v>China</v>
      </c>
      <c r="B31">
        <f>Clean_Data!C29</f>
        <v>2002</v>
      </c>
      <c r="C31" s="19">
        <f>Clean_Data!D29</f>
        <v>1163.5595767342556</v>
      </c>
      <c r="D31" s="19">
        <f>Clean_Data!E29</f>
        <v>-0.73197090235024298</v>
      </c>
      <c r="E31" s="20">
        <f>Clean_Data!F29</f>
        <v>4.24</v>
      </c>
      <c r="F31" s="21">
        <f>Clean_Data!G29</f>
        <v>1280400000</v>
      </c>
      <c r="H31" t="s">
        <v>124</v>
      </c>
      <c r="I31" t="s">
        <v>17</v>
      </c>
      <c r="J31" t="s">
        <v>86</v>
      </c>
      <c r="K31" t="s">
        <v>89</v>
      </c>
      <c r="L31" t="s">
        <v>5</v>
      </c>
      <c r="M31" t="s">
        <v>77</v>
      </c>
      <c r="O31" t="s">
        <v>124</v>
      </c>
      <c r="P31" t="s">
        <v>17</v>
      </c>
      <c r="Q31" t="s">
        <v>86</v>
      </c>
      <c r="R31" t="s">
        <v>89</v>
      </c>
      <c r="S31" t="s">
        <v>5</v>
      </c>
      <c r="T31" t="s">
        <v>77</v>
      </c>
    </row>
    <row r="32" spans="1:20" x14ac:dyDescent="0.3">
      <c r="A32" t="str">
        <f>Clean_Data!A30</f>
        <v>China</v>
      </c>
      <c r="B32">
        <f>Clean_Data!C30</f>
        <v>2003</v>
      </c>
      <c r="C32" s="19">
        <f>Clean_Data!D30</f>
        <v>1306.9724540855702</v>
      </c>
      <c r="D32" s="19">
        <f>Clean_Data!E30</f>
        <v>1.1276034872963701</v>
      </c>
      <c r="E32" s="20">
        <f>Clean_Data!F30</f>
        <v>4.58</v>
      </c>
      <c r="F32" s="21">
        <f>Clean_Data!G30</f>
        <v>1288400000</v>
      </c>
      <c r="H32">
        <f>2000</f>
        <v>2000</v>
      </c>
      <c r="I32" s="23">
        <f t="shared" ref="I32:M41" si="6">SUMIFS($F$4:$F$378,$A$4:$A$378,I$31,$B$4:$B$378,$H32)</f>
        <v>1057922733</v>
      </c>
      <c r="J32" s="23">
        <f t="shared" si="6"/>
        <v>1262645000</v>
      </c>
      <c r="K32" s="23">
        <f t="shared" si="6"/>
        <v>82211508</v>
      </c>
      <c r="L32" s="23">
        <f t="shared" si="6"/>
        <v>146596869</v>
      </c>
      <c r="M32" s="23">
        <f t="shared" si="6"/>
        <v>282162411</v>
      </c>
      <c r="O32">
        <f>2000</f>
        <v>2000</v>
      </c>
      <c r="P32" s="19">
        <f t="shared" ref="P32:T41" si="7">SUMIFS($E$4:$E$378,$A$4:$A$378,P$31,$B$4:$B$378,$O32)</f>
        <v>7.5890000000000004</v>
      </c>
      <c r="Q32">
        <f t="shared" si="7"/>
        <v>3.26</v>
      </c>
      <c r="R32">
        <f t="shared" si="7"/>
        <v>7.9169999999999998</v>
      </c>
      <c r="S32">
        <f t="shared" si="7"/>
        <v>10.581</v>
      </c>
      <c r="T32" s="18">
        <f t="shared" si="7"/>
        <v>3.992</v>
      </c>
    </row>
    <row r="33" spans="1:20" x14ac:dyDescent="0.3">
      <c r="A33" t="str">
        <f>Clean_Data!A31</f>
        <v>China</v>
      </c>
      <c r="B33">
        <f>Clean_Data!C31</f>
        <v>2004</v>
      </c>
      <c r="C33" s="19">
        <f>Clean_Data!D31</f>
        <v>1530.9272621572329</v>
      </c>
      <c r="D33" s="19">
        <f>Clean_Data!E31</f>
        <v>3.82463743108159</v>
      </c>
      <c r="E33" s="20">
        <f>Clean_Data!F31</f>
        <v>4.49</v>
      </c>
      <c r="F33" s="21">
        <f>Clean_Data!G31</f>
        <v>1296075000</v>
      </c>
      <c r="H33">
        <f>H32+1</f>
        <v>2001</v>
      </c>
      <c r="I33" s="23">
        <f t="shared" si="6"/>
        <v>1077898575</v>
      </c>
      <c r="J33" s="23">
        <f t="shared" si="6"/>
        <v>1271850000</v>
      </c>
      <c r="K33" s="23">
        <f t="shared" si="6"/>
        <v>82349925</v>
      </c>
      <c r="L33" s="23">
        <f t="shared" si="6"/>
        <v>145976482</v>
      </c>
      <c r="M33" s="23">
        <f t="shared" si="6"/>
        <v>284968955</v>
      </c>
      <c r="O33">
        <f>O32+1</f>
        <v>2001</v>
      </c>
      <c r="P33" s="19">
        <f t="shared" si="7"/>
        <v>7.6109999999999998</v>
      </c>
      <c r="Q33">
        <f t="shared" si="7"/>
        <v>3.8</v>
      </c>
      <c r="R33">
        <f t="shared" si="7"/>
        <v>7.7729999999999997</v>
      </c>
      <c r="S33">
        <f t="shared" si="7"/>
        <v>8.9779999999999998</v>
      </c>
      <c r="T33" s="18">
        <f t="shared" si="7"/>
        <v>4.7309999999999999</v>
      </c>
    </row>
    <row r="34" spans="1:20" x14ac:dyDescent="0.3">
      <c r="A34" t="str">
        <f>Clean_Data!A32</f>
        <v>China</v>
      </c>
      <c r="B34">
        <f>Clean_Data!C32</f>
        <v>2005</v>
      </c>
      <c r="C34" s="19">
        <f>Clean_Data!D32</f>
        <v>1777.644968284641</v>
      </c>
      <c r="D34" s="19">
        <f>Clean_Data!E32</f>
        <v>1.7764140766756999</v>
      </c>
      <c r="E34" s="20">
        <f>Clean_Data!F32</f>
        <v>4.5199999999999996</v>
      </c>
      <c r="F34" s="21">
        <f>Clean_Data!G32</f>
        <v>1303720000</v>
      </c>
      <c r="H34">
        <f t="shared" ref="H34:H56" si="8">H33+1</f>
        <v>2002</v>
      </c>
      <c r="I34" s="23">
        <f t="shared" si="6"/>
        <v>1097600380</v>
      </c>
      <c r="J34" s="23">
        <f t="shared" si="6"/>
        <v>1280400000</v>
      </c>
      <c r="K34" s="23">
        <f t="shared" si="6"/>
        <v>82488495</v>
      </c>
      <c r="L34" s="23">
        <f t="shared" si="6"/>
        <v>145306497</v>
      </c>
      <c r="M34" s="23">
        <f t="shared" si="6"/>
        <v>287625193</v>
      </c>
      <c r="O34">
        <f t="shared" ref="O34:O55" si="9">O33+1</f>
        <v>2002</v>
      </c>
      <c r="P34" s="19">
        <f t="shared" si="7"/>
        <v>7.681</v>
      </c>
      <c r="Q34">
        <f t="shared" si="7"/>
        <v>4.24</v>
      </c>
      <c r="R34">
        <f t="shared" si="7"/>
        <v>8.4819999999999993</v>
      </c>
      <c r="S34">
        <f t="shared" si="7"/>
        <v>7.875</v>
      </c>
      <c r="T34" s="18">
        <f t="shared" si="7"/>
        <v>5.7830000000000004</v>
      </c>
    </row>
    <row r="35" spans="1:20" x14ac:dyDescent="0.3">
      <c r="A35" t="str">
        <f>Clean_Data!A33</f>
        <v>China</v>
      </c>
      <c r="B35">
        <f>Clean_Data!C33</f>
        <v>2006</v>
      </c>
      <c r="C35" s="19">
        <f>Clean_Data!D33</f>
        <v>2129.2569699961318</v>
      </c>
      <c r="D35" s="19">
        <f>Clean_Data!E33</f>
        <v>1.6494309945585901</v>
      </c>
      <c r="E35" s="20">
        <f>Clean_Data!F33</f>
        <v>4.43</v>
      </c>
      <c r="F35" s="21">
        <f>Clean_Data!G33</f>
        <v>1311020000</v>
      </c>
      <c r="H35">
        <f t="shared" si="8"/>
        <v>2003</v>
      </c>
      <c r="I35" s="23">
        <f t="shared" si="6"/>
        <v>1116803006</v>
      </c>
      <c r="J35" s="23">
        <f t="shared" si="6"/>
        <v>1288400000</v>
      </c>
      <c r="K35" s="23">
        <f t="shared" si="6"/>
        <v>82534176</v>
      </c>
      <c r="L35" s="23">
        <f t="shared" si="6"/>
        <v>144648618</v>
      </c>
      <c r="M35" s="23">
        <f t="shared" si="6"/>
        <v>290107933</v>
      </c>
      <c r="O35">
        <f t="shared" si="9"/>
        <v>2003</v>
      </c>
      <c r="P35" s="19">
        <f t="shared" si="7"/>
        <v>7.633</v>
      </c>
      <c r="Q35">
        <f t="shared" si="7"/>
        <v>4.58</v>
      </c>
      <c r="R35">
        <f t="shared" si="7"/>
        <v>9.7789999999999999</v>
      </c>
      <c r="S35">
        <f t="shared" si="7"/>
        <v>8.2100000000000009</v>
      </c>
      <c r="T35" s="18">
        <f t="shared" si="7"/>
        <v>5.9889999999999999</v>
      </c>
    </row>
    <row r="36" spans="1:20" x14ac:dyDescent="0.3">
      <c r="A36" t="str">
        <f>Clean_Data!A34</f>
        <v>China</v>
      </c>
      <c r="B36">
        <f>Clean_Data!C34</f>
        <v>2007</v>
      </c>
      <c r="C36" s="19">
        <f>Clean_Data!D34</f>
        <v>2734.7270987769271</v>
      </c>
      <c r="D36" s="19">
        <f>Clean_Data!E34</f>
        <v>4.8167676737883403</v>
      </c>
      <c r="E36" s="20">
        <f>Clean_Data!F34</f>
        <v>4.3499999999999996</v>
      </c>
      <c r="F36" s="21">
        <f>Clean_Data!G34</f>
        <v>1317885000</v>
      </c>
      <c r="H36">
        <f t="shared" si="8"/>
        <v>2004</v>
      </c>
      <c r="I36" s="23">
        <f t="shared" si="6"/>
        <v>1135991513</v>
      </c>
      <c r="J36" s="23">
        <f t="shared" si="6"/>
        <v>1296075000</v>
      </c>
      <c r="K36" s="23">
        <f t="shared" si="6"/>
        <v>82516260</v>
      </c>
      <c r="L36" s="23">
        <f t="shared" si="6"/>
        <v>144067316</v>
      </c>
      <c r="M36" s="23">
        <f t="shared" si="6"/>
        <v>292805298</v>
      </c>
      <c r="O36">
        <f t="shared" si="9"/>
        <v>2004</v>
      </c>
      <c r="P36" s="19">
        <f t="shared" si="7"/>
        <v>7.5979999999999999</v>
      </c>
      <c r="Q36">
        <f t="shared" si="7"/>
        <v>4.49</v>
      </c>
      <c r="R36">
        <f t="shared" si="7"/>
        <v>10.727</v>
      </c>
      <c r="S36">
        <f t="shared" si="7"/>
        <v>7.7629999999999999</v>
      </c>
      <c r="T36" s="18">
        <f t="shared" si="7"/>
        <v>5.5289999999999999</v>
      </c>
    </row>
    <row r="37" spans="1:20" x14ac:dyDescent="0.3">
      <c r="A37" t="str">
        <f>Clean_Data!A35</f>
        <v>China</v>
      </c>
      <c r="B37">
        <f>Clean_Data!C35</f>
        <v>2008</v>
      </c>
      <c r="C37" s="19">
        <f>Clean_Data!D35</f>
        <v>3523.4430206521301</v>
      </c>
      <c r="D37" s="19">
        <f>Clean_Data!E35</f>
        <v>5.9252513704109102</v>
      </c>
      <c r="E37" s="20">
        <f>Clean_Data!F35</f>
        <v>4.59</v>
      </c>
      <c r="F37" s="21">
        <f>Clean_Data!G35</f>
        <v>1324655000</v>
      </c>
      <c r="H37">
        <f t="shared" si="8"/>
        <v>2005</v>
      </c>
      <c r="I37" s="23">
        <f t="shared" si="6"/>
        <v>1154676322</v>
      </c>
      <c r="J37" s="23">
        <f t="shared" si="6"/>
        <v>1303720000</v>
      </c>
      <c r="K37" s="23">
        <f t="shared" si="6"/>
        <v>82469422</v>
      </c>
      <c r="L37" s="23">
        <f t="shared" si="6"/>
        <v>143518814</v>
      </c>
      <c r="M37" s="23">
        <f t="shared" si="6"/>
        <v>295516599</v>
      </c>
      <c r="O37">
        <f t="shared" si="9"/>
        <v>2005</v>
      </c>
      <c r="P37" s="19">
        <f t="shared" si="7"/>
        <v>7.5510000000000002</v>
      </c>
      <c r="Q37">
        <f t="shared" si="7"/>
        <v>4.5199999999999996</v>
      </c>
      <c r="R37">
        <f t="shared" si="7"/>
        <v>11.193</v>
      </c>
      <c r="S37">
        <f t="shared" si="7"/>
        <v>7.1239999999999997</v>
      </c>
      <c r="T37" s="18">
        <f t="shared" si="7"/>
        <v>5.0839999999999996</v>
      </c>
    </row>
    <row r="38" spans="1:20" x14ac:dyDescent="0.3">
      <c r="A38" t="str">
        <f>Clean_Data!A36</f>
        <v>China</v>
      </c>
      <c r="B38">
        <f>Clean_Data!C36</f>
        <v>2009</v>
      </c>
      <c r="C38" s="19">
        <f>Clean_Data!D36</f>
        <v>3898.2445915881062</v>
      </c>
      <c r="D38" s="19">
        <f>Clean_Data!E36</f>
        <v>-0.72816525093289797</v>
      </c>
      <c r="E38" s="20">
        <f>Clean_Data!F36</f>
        <v>4.72</v>
      </c>
      <c r="F38" s="21">
        <f>Clean_Data!G36</f>
        <v>1331260000</v>
      </c>
      <c r="H38">
        <f t="shared" si="8"/>
        <v>2006</v>
      </c>
      <c r="I38" s="23">
        <f t="shared" si="6"/>
        <v>1172878890</v>
      </c>
      <c r="J38" s="23">
        <f t="shared" si="6"/>
        <v>1311020000</v>
      </c>
      <c r="K38" s="23">
        <f t="shared" si="6"/>
        <v>82376451</v>
      </c>
      <c r="L38" s="23">
        <f t="shared" si="6"/>
        <v>143049637</v>
      </c>
      <c r="M38" s="23">
        <f t="shared" si="6"/>
        <v>298379912</v>
      </c>
      <c r="O38">
        <f t="shared" si="9"/>
        <v>2006</v>
      </c>
      <c r="P38" s="19">
        <f t="shared" si="7"/>
        <v>7.5529999999999999</v>
      </c>
      <c r="Q38">
        <f t="shared" si="7"/>
        <v>4.43</v>
      </c>
      <c r="R38">
        <f t="shared" si="7"/>
        <v>10.276999999999999</v>
      </c>
      <c r="S38">
        <f t="shared" si="7"/>
        <v>7.0549999999999997</v>
      </c>
      <c r="T38" s="18">
        <f t="shared" si="7"/>
        <v>4.6230000000000002</v>
      </c>
    </row>
    <row r="39" spans="1:20" x14ac:dyDescent="0.3">
      <c r="A39" t="str">
        <f>Clean_Data!A37</f>
        <v>China</v>
      </c>
      <c r="B39">
        <f>Clean_Data!C37</f>
        <v>2010</v>
      </c>
      <c r="C39" s="19">
        <f>Clean_Data!D37</f>
        <v>4629.2455171007732</v>
      </c>
      <c r="D39" s="19">
        <f>Clean_Data!E37</f>
        <v>3.1753247526919899</v>
      </c>
      <c r="E39" s="20">
        <f>Clean_Data!F37</f>
        <v>4.53</v>
      </c>
      <c r="F39" s="21">
        <f>Clean_Data!G37</f>
        <v>1337705000</v>
      </c>
      <c r="H39">
        <f t="shared" si="8"/>
        <v>2007</v>
      </c>
      <c r="I39" s="23">
        <f t="shared" si="6"/>
        <v>1190676021</v>
      </c>
      <c r="J39" s="23">
        <f t="shared" si="6"/>
        <v>1317885000</v>
      </c>
      <c r="K39" s="23">
        <f t="shared" si="6"/>
        <v>82266372</v>
      </c>
      <c r="L39" s="23">
        <f t="shared" si="6"/>
        <v>142805114</v>
      </c>
      <c r="M39" s="23">
        <f t="shared" si="6"/>
        <v>301231207</v>
      </c>
      <c r="O39">
        <f t="shared" si="9"/>
        <v>2007</v>
      </c>
      <c r="P39" s="19">
        <f t="shared" si="7"/>
        <v>7.5620000000000003</v>
      </c>
      <c r="Q39">
        <f t="shared" si="7"/>
        <v>4.3499999999999996</v>
      </c>
      <c r="R39">
        <f t="shared" si="7"/>
        <v>8.7319999999999993</v>
      </c>
      <c r="S39">
        <f t="shared" si="7"/>
        <v>6.0019999999999998</v>
      </c>
      <c r="T39" s="18">
        <f t="shared" si="7"/>
        <v>4.6219999999999999</v>
      </c>
    </row>
    <row r="40" spans="1:20" x14ac:dyDescent="0.3">
      <c r="A40" t="str">
        <f>Clean_Data!A38</f>
        <v>China</v>
      </c>
      <c r="B40">
        <f>Clean_Data!C38</f>
        <v>2011</v>
      </c>
      <c r="C40" s="19">
        <f>Clean_Data!D38</f>
        <v>5703.7602797334557</v>
      </c>
      <c r="D40" s="19">
        <f>Clean_Data!E38</f>
        <v>5.5538989225749296</v>
      </c>
      <c r="E40" s="20">
        <f>Clean_Data!F38</f>
        <v>4.55</v>
      </c>
      <c r="F40" s="21">
        <f>Clean_Data!G38</f>
        <v>1345035000</v>
      </c>
      <c r="H40">
        <f t="shared" si="8"/>
        <v>2008</v>
      </c>
      <c r="I40" s="23">
        <f t="shared" si="6"/>
        <v>1207930964</v>
      </c>
      <c r="J40" s="23">
        <f t="shared" si="6"/>
        <v>1324655000</v>
      </c>
      <c r="K40" s="23">
        <f t="shared" si="6"/>
        <v>82110097</v>
      </c>
      <c r="L40" s="23">
        <f t="shared" si="6"/>
        <v>142742366</v>
      </c>
      <c r="M40" s="23">
        <f t="shared" si="6"/>
        <v>304093966</v>
      </c>
      <c r="O40">
        <f t="shared" si="9"/>
        <v>2008</v>
      </c>
      <c r="P40" s="19">
        <f t="shared" si="7"/>
        <v>7.6289999999999996</v>
      </c>
      <c r="Q40">
        <f t="shared" si="7"/>
        <v>4.59</v>
      </c>
      <c r="R40">
        <f t="shared" si="7"/>
        <v>7.508</v>
      </c>
      <c r="S40">
        <f t="shared" si="7"/>
        <v>6.2050000000000001</v>
      </c>
      <c r="T40" s="18">
        <f t="shared" si="7"/>
        <v>5.7839999999999998</v>
      </c>
    </row>
    <row r="41" spans="1:20" x14ac:dyDescent="0.3">
      <c r="A41" t="str">
        <f>Clean_Data!A39</f>
        <v>China</v>
      </c>
      <c r="B41">
        <f>Clean_Data!C39</f>
        <v>2012</v>
      </c>
      <c r="C41" s="19">
        <f>Clean_Data!D39</f>
        <v>6405.0574241349032</v>
      </c>
      <c r="D41" s="19">
        <f>Clean_Data!E39</f>
        <v>2.6195243264553998</v>
      </c>
      <c r="E41" s="20">
        <f>Clean_Data!F39</f>
        <v>4.58</v>
      </c>
      <c r="F41" s="21">
        <f>Clean_Data!G39</f>
        <v>1354190000</v>
      </c>
      <c r="H41">
        <f t="shared" si="8"/>
        <v>2009</v>
      </c>
      <c r="I41" s="23">
        <f t="shared" si="6"/>
        <v>1225524753</v>
      </c>
      <c r="J41" s="23">
        <f t="shared" si="6"/>
        <v>1331260000</v>
      </c>
      <c r="K41" s="23">
        <f t="shared" si="6"/>
        <v>81902307</v>
      </c>
      <c r="L41" s="23">
        <f t="shared" si="6"/>
        <v>142785348</v>
      </c>
      <c r="M41" s="23">
        <f t="shared" si="6"/>
        <v>306771529</v>
      </c>
      <c r="O41">
        <f t="shared" si="9"/>
        <v>2009</v>
      </c>
      <c r="P41" s="19">
        <f t="shared" si="7"/>
        <v>7.6360000000000001</v>
      </c>
      <c r="Q41">
        <f t="shared" si="7"/>
        <v>4.72</v>
      </c>
      <c r="R41">
        <f t="shared" si="7"/>
        <v>7.88</v>
      </c>
      <c r="S41">
        <f t="shared" si="7"/>
        <v>8.3010000000000002</v>
      </c>
      <c r="T41" s="18">
        <f t="shared" si="7"/>
        <v>9.2539999999999996</v>
      </c>
    </row>
    <row r="42" spans="1:20" x14ac:dyDescent="0.3">
      <c r="A42" t="str">
        <f>Clean_Data!A40</f>
        <v>China</v>
      </c>
      <c r="B42">
        <f>Clean_Data!C40</f>
        <v>2013</v>
      </c>
      <c r="C42" s="19">
        <f>Clean_Data!D40</f>
        <v>7147.0351862234411</v>
      </c>
      <c r="D42" s="19">
        <f>Clean_Data!E40</f>
        <v>2.62105001748114</v>
      </c>
      <c r="E42" s="20">
        <f>Clean_Data!F40</f>
        <v>4.5999999999999996</v>
      </c>
      <c r="F42" s="21">
        <f>Clean_Data!G40</f>
        <v>1363240000</v>
      </c>
      <c r="H42">
        <f t="shared" si="8"/>
        <v>2010</v>
      </c>
      <c r="I42" s="23">
        <f t="shared" ref="I42:M56" si="10">SUMIFS($F$4:$F$378,$A$4:$A$378,I$31,$B$4:$B$378,$H42)</f>
        <v>1243481564</v>
      </c>
      <c r="J42" s="23">
        <f t="shared" si="10"/>
        <v>1337705000</v>
      </c>
      <c r="K42" s="23">
        <f t="shared" si="10"/>
        <v>81776930</v>
      </c>
      <c r="L42" s="23">
        <f t="shared" si="10"/>
        <v>142849468</v>
      </c>
      <c r="M42" s="23">
        <f t="shared" si="10"/>
        <v>309378227</v>
      </c>
      <c r="O42">
        <f t="shared" si="9"/>
        <v>2010</v>
      </c>
      <c r="P42" s="19">
        <f t="shared" ref="P42:T56" si="11">SUMIFS($E$4:$E$378,$A$4:$A$378,P$31,$B$4:$B$378,$O42)</f>
        <v>7.6310000000000002</v>
      </c>
      <c r="Q42">
        <f t="shared" si="11"/>
        <v>4.53</v>
      </c>
      <c r="R42">
        <f t="shared" si="11"/>
        <v>7.0430000000000001</v>
      </c>
      <c r="S42">
        <f t="shared" si="11"/>
        <v>7.407</v>
      </c>
      <c r="T42" s="18">
        <f t="shared" si="11"/>
        <v>9.6329999999999991</v>
      </c>
    </row>
    <row r="43" spans="1:20" x14ac:dyDescent="0.3">
      <c r="A43" t="str">
        <f>Clean_Data!A41</f>
        <v>China</v>
      </c>
      <c r="B43">
        <f>Clean_Data!C41</f>
        <v>2014</v>
      </c>
      <c r="C43" s="19">
        <f>Clean_Data!D41</f>
        <v>7781.0659748497383</v>
      </c>
      <c r="D43" s="19">
        <f>Clean_Data!E41</f>
        <v>1.9216416278852</v>
      </c>
      <c r="E43" s="20">
        <f>Clean_Data!F41</f>
        <v>4.63</v>
      </c>
      <c r="F43" s="21">
        <f>Clean_Data!G41</f>
        <v>1371860000</v>
      </c>
      <c r="H43">
        <f t="shared" si="8"/>
        <v>2011</v>
      </c>
      <c r="I43" s="23">
        <f t="shared" si="10"/>
        <v>1261224954</v>
      </c>
      <c r="J43" s="23">
        <f t="shared" si="10"/>
        <v>1345035000</v>
      </c>
      <c r="K43" s="23">
        <f t="shared" si="10"/>
        <v>80274983</v>
      </c>
      <c r="L43" s="23">
        <f t="shared" si="10"/>
        <v>143018195</v>
      </c>
      <c r="M43" s="23">
        <f t="shared" si="10"/>
        <v>311839461</v>
      </c>
      <c r="O43">
        <f t="shared" si="9"/>
        <v>2011</v>
      </c>
      <c r="P43" s="19">
        <f t="shared" si="11"/>
        <v>7.609</v>
      </c>
      <c r="Q43">
        <f t="shared" si="11"/>
        <v>4.55</v>
      </c>
      <c r="R43">
        <f t="shared" si="11"/>
        <v>5.9669999999999996</v>
      </c>
      <c r="S43">
        <f t="shared" si="11"/>
        <v>6.5709999999999997</v>
      </c>
      <c r="T43" s="18">
        <f t="shared" si="11"/>
        <v>8.9489999999999998</v>
      </c>
    </row>
    <row r="44" spans="1:20" x14ac:dyDescent="0.3">
      <c r="A44" t="str">
        <f>Clean_Data!A42</f>
        <v>China</v>
      </c>
      <c r="B44">
        <f>Clean_Data!C42</f>
        <v>2015</v>
      </c>
      <c r="C44" s="19">
        <f>Clean_Data!D42</f>
        <v>8175.3328507739288</v>
      </c>
      <c r="D44" s="19">
        <f>Clean_Data!E42</f>
        <v>1.4370238093565399</v>
      </c>
      <c r="E44" s="20">
        <f>Clean_Data!F42</f>
        <v>4.6500000000000004</v>
      </c>
      <c r="F44" s="21">
        <f>Clean_Data!G42</f>
        <v>1379860000</v>
      </c>
      <c r="H44">
        <f t="shared" si="8"/>
        <v>2012</v>
      </c>
      <c r="I44" s="23">
        <f t="shared" si="10"/>
        <v>1278674502</v>
      </c>
      <c r="J44" s="23">
        <f t="shared" si="10"/>
        <v>1354190000</v>
      </c>
      <c r="K44" s="23">
        <f t="shared" si="10"/>
        <v>80425823</v>
      </c>
      <c r="L44" s="23">
        <f t="shared" si="10"/>
        <v>143378447</v>
      </c>
      <c r="M44" s="23">
        <f t="shared" si="10"/>
        <v>314339099</v>
      </c>
      <c r="O44">
        <f t="shared" si="9"/>
        <v>2012</v>
      </c>
      <c r="P44" s="19">
        <f t="shared" si="11"/>
        <v>7.6449999999999996</v>
      </c>
      <c r="Q44">
        <f t="shared" si="11"/>
        <v>4.58</v>
      </c>
      <c r="R44">
        <f t="shared" si="11"/>
        <v>5.3719999999999999</v>
      </c>
      <c r="S44">
        <f t="shared" si="11"/>
        <v>5.484</v>
      </c>
      <c r="T44" s="18">
        <f t="shared" si="11"/>
        <v>8.0690000000000008</v>
      </c>
    </row>
    <row r="45" spans="1:20" x14ac:dyDescent="0.3">
      <c r="A45" t="str">
        <f>Clean_Data!A43</f>
        <v>China</v>
      </c>
      <c r="B45">
        <f>Clean_Data!C43</f>
        <v>2016</v>
      </c>
      <c r="C45" s="19">
        <f>Clean_Data!D43</f>
        <v>8254.8685932035678</v>
      </c>
      <c r="D45" s="19">
        <f>Clean_Data!E43</f>
        <v>2.00000182191943</v>
      </c>
      <c r="E45" s="20">
        <f>Clean_Data!F43</f>
        <v>4.5599999999999996</v>
      </c>
      <c r="F45" s="21">
        <f>Clean_Data!G43</f>
        <v>1387790000</v>
      </c>
      <c r="H45">
        <f t="shared" si="8"/>
        <v>2013</v>
      </c>
      <c r="I45" s="23">
        <f t="shared" si="10"/>
        <v>1295829511</v>
      </c>
      <c r="J45" s="23">
        <f t="shared" si="10"/>
        <v>1363240000</v>
      </c>
      <c r="K45" s="23">
        <f t="shared" si="10"/>
        <v>80645605</v>
      </c>
      <c r="L45" s="23">
        <f t="shared" si="10"/>
        <v>143805638</v>
      </c>
      <c r="M45" s="23">
        <f t="shared" si="10"/>
        <v>316726282</v>
      </c>
      <c r="O45">
        <f t="shared" si="9"/>
        <v>2013</v>
      </c>
      <c r="P45" s="19">
        <f t="shared" si="11"/>
        <v>7.6779999999999999</v>
      </c>
      <c r="Q45">
        <f t="shared" si="11"/>
        <v>4.5999999999999996</v>
      </c>
      <c r="R45">
        <f t="shared" si="11"/>
        <v>5.3159999999999998</v>
      </c>
      <c r="S45">
        <f t="shared" si="11"/>
        <v>5.5129999999999999</v>
      </c>
      <c r="T45" s="18">
        <f t="shared" si="11"/>
        <v>7.375</v>
      </c>
    </row>
    <row r="46" spans="1:20" x14ac:dyDescent="0.3">
      <c r="A46" t="str">
        <f>Clean_Data!A44</f>
        <v>China</v>
      </c>
      <c r="B46">
        <f>Clean_Data!C44</f>
        <v>2017</v>
      </c>
      <c r="C46" s="19">
        <f>Clean_Data!D44</f>
        <v>8979.6765270985634</v>
      </c>
      <c r="D46" s="19">
        <f>Clean_Data!E44</f>
        <v>1.59313600071435</v>
      </c>
      <c r="E46" s="20">
        <f>Clean_Data!F44</f>
        <v>4.47</v>
      </c>
      <c r="F46" s="21">
        <f>Clean_Data!G44</f>
        <v>1396215000</v>
      </c>
      <c r="H46">
        <f t="shared" si="8"/>
        <v>2014</v>
      </c>
      <c r="I46" s="23">
        <f t="shared" si="10"/>
        <v>1312277191</v>
      </c>
      <c r="J46" s="23">
        <f t="shared" si="10"/>
        <v>1371860000</v>
      </c>
      <c r="K46" s="23">
        <f t="shared" si="10"/>
        <v>80982500</v>
      </c>
      <c r="L46" s="23">
        <f t="shared" si="10"/>
        <v>144237223</v>
      </c>
      <c r="M46" s="23">
        <f t="shared" si="10"/>
        <v>319257560</v>
      </c>
      <c r="O46">
        <f t="shared" si="9"/>
        <v>2014</v>
      </c>
      <c r="P46" s="19">
        <f t="shared" si="11"/>
        <v>7.6559999999999997</v>
      </c>
      <c r="Q46">
        <f t="shared" si="11"/>
        <v>4.63</v>
      </c>
      <c r="R46">
        <f t="shared" si="11"/>
        <v>4.9790000000000001</v>
      </c>
      <c r="S46">
        <f t="shared" si="11"/>
        <v>5.2119999999999997</v>
      </c>
      <c r="T46" s="18">
        <f t="shared" si="11"/>
        <v>6.1680000000000001</v>
      </c>
    </row>
    <row r="47" spans="1:20" x14ac:dyDescent="0.3">
      <c r="A47" t="str">
        <f>Clean_Data!A45</f>
        <v>China</v>
      </c>
      <c r="B47">
        <f>Clean_Data!C45</f>
        <v>2018</v>
      </c>
      <c r="C47" s="19">
        <f>Clean_Data!D45</f>
        <v>10085.663814881918</v>
      </c>
      <c r="D47" s="19">
        <f>Clean_Data!E45</f>
        <v>2.0747903996557602</v>
      </c>
      <c r="E47" s="20">
        <f>Clean_Data!F45</f>
        <v>4.3099999999999996</v>
      </c>
      <c r="F47" s="21">
        <f>Clean_Data!G45</f>
        <v>1402760000</v>
      </c>
      <c r="H47">
        <f t="shared" si="8"/>
        <v>2015</v>
      </c>
      <c r="I47" s="23">
        <f t="shared" si="10"/>
        <v>1328024498</v>
      </c>
      <c r="J47" s="23">
        <f t="shared" si="10"/>
        <v>1379860000</v>
      </c>
      <c r="K47" s="23">
        <f t="shared" si="10"/>
        <v>81686611</v>
      </c>
      <c r="L47" s="23">
        <f t="shared" si="10"/>
        <v>144640716</v>
      </c>
      <c r="M47" s="23">
        <f t="shared" si="10"/>
        <v>321815121</v>
      </c>
      <c r="O47">
        <f t="shared" si="9"/>
        <v>2015</v>
      </c>
      <c r="P47" s="19">
        <f t="shared" si="11"/>
        <v>7.6289999999999996</v>
      </c>
      <c r="Q47">
        <f t="shared" si="11"/>
        <v>4.6500000000000004</v>
      </c>
      <c r="R47">
        <f t="shared" si="11"/>
        <v>4.6120000000000001</v>
      </c>
      <c r="S47">
        <f t="shared" si="11"/>
        <v>5.6150000000000002</v>
      </c>
      <c r="T47" s="18">
        <f t="shared" si="11"/>
        <v>5.28</v>
      </c>
    </row>
    <row r="48" spans="1:20" x14ac:dyDescent="0.3">
      <c r="A48" t="str">
        <f>Clean_Data!A46</f>
        <v>China</v>
      </c>
      <c r="B48">
        <f>Clean_Data!C46</f>
        <v>2019</v>
      </c>
      <c r="C48" s="19">
        <f>Clean_Data!D46</f>
        <v>10342.90095243346</v>
      </c>
      <c r="D48" s="19">
        <f>Clean_Data!E46</f>
        <v>2.89923416358226</v>
      </c>
      <c r="E48" s="20">
        <f>Clean_Data!F46</f>
        <v>4.5599999999999996</v>
      </c>
      <c r="F48" s="21">
        <f>Clean_Data!G46</f>
        <v>1407745000</v>
      </c>
      <c r="H48">
        <f t="shared" si="8"/>
        <v>2016</v>
      </c>
      <c r="I48" s="23">
        <f t="shared" si="10"/>
        <v>1343944296</v>
      </c>
      <c r="J48" s="23">
        <f t="shared" si="10"/>
        <v>1387790000</v>
      </c>
      <c r="K48" s="23">
        <f t="shared" si="10"/>
        <v>82348669</v>
      </c>
      <c r="L48" s="23">
        <f t="shared" si="10"/>
        <v>145015460</v>
      </c>
      <c r="M48" s="23">
        <f t="shared" si="10"/>
        <v>324353340</v>
      </c>
      <c r="O48">
        <f t="shared" si="9"/>
        <v>2016</v>
      </c>
      <c r="P48" s="19">
        <f t="shared" si="11"/>
        <v>7.6109999999999998</v>
      </c>
      <c r="Q48">
        <f t="shared" si="11"/>
        <v>4.5599999999999996</v>
      </c>
      <c r="R48">
        <f t="shared" si="11"/>
        <v>4.1040000000000001</v>
      </c>
      <c r="S48">
        <f t="shared" si="11"/>
        <v>5.5910000000000002</v>
      </c>
      <c r="T48" s="18">
        <f t="shared" si="11"/>
        <v>4.8689999999999998</v>
      </c>
    </row>
    <row r="49" spans="1:20" x14ac:dyDescent="0.3">
      <c r="A49" t="str">
        <f>Clean_Data!A47</f>
        <v>China</v>
      </c>
      <c r="B49">
        <f>Clean_Data!C47</f>
        <v>2020</v>
      </c>
      <c r="C49" s="19">
        <f>Clean_Data!D47</f>
        <v>10627.463798961868</v>
      </c>
      <c r="D49" s="19">
        <f>Clean_Data!E47</f>
        <v>2.4194218945778201</v>
      </c>
      <c r="E49" s="20">
        <f>Clean_Data!F47</f>
        <v>5</v>
      </c>
      <c r="F49" s="21">
        <f>Clean_Data!G47</f>
        <v>1411100000</v>
      </c>
      <c r="H49">
        <f t="shared" si="8"/>
        <v>2017</v>
      </c>
      <c r="I49" s="23">
        <f t="shared" si="10"/>
        <v>1359657400</v>
      </c>
      <c r="J49" s="23">
        <f t="shared" si="10"/>
        <v>1396215000</v>
      </c>
      <c r="K49" s="23">
        <f t="shared" si="10"/>
        <v>82657002</v>
      </c>
      <c r="L49" s="23">
        <f t="shared" si="10"/>
        <v>145293260</v>
      </c>
      <c r="M49" s="23">
        <f t="shared" si="10"/>
        <v>326608609</v>
      </c>
      <c r="O49">
        <f t="shared" si="9"/>
        <v>2017</v>
      </c>
      <c r="P49" s="19">
        <f t="shared" si="11"/>
        <v>7.6260000000000003</v>
      </c>
      <c r="Q49">
        <f t="shared" si="11"/>
        <v>4.47</v>
      </c>
      <c r="R49">
        <f t="shared" si="11"/>
        <v>3.7810000000000001</v>
      </c>
      <c r="S49">
        <f t="shared" si="11"/>
        <v>5.2380000000000004</v>
      </c>
      <c r="T49" s="18">
        <f t="shared" si="11"/>
        <v>4.3550000000000004</v>
      </c>
    </row>
    <row r="50" spans="1:20" x14ac:dyDescent="0.3">
      <c r="A50" t="str">
        <f>Clean_Data!A48</f>
        <v>China</v>
      </c>
      <c r="B50">
        <f>Clean_Data!C48</f>
        <v>2021</v>
      </c>
      <c r="C50" s="19">
        <f>Clean_Data!D48</f>
        <v>12887.435724294062</v>
      </c>
      <c r="D50" s="19">
        <f>Clean_Data!E48</f>
        <v>0.98101513554488096</v>
      </c>
      <c r="E50" s="20">
        <f>Clean_Data!F48</f>
        <v>4.55</v>
      </c>
      <c r="F50" s="21">
        <f>Clean_Data!G48</f>
        <v>1412360000</v>
      </c>
      <c r="H50">
        <f t="shared" si="8"/>
        <v>2018</v>
      </c>
      <c r="I50" s="23">
        <f t="shared" si="10"/>
        <v>1374659064</v>
      </c>
      <c r="J50" s="23">
        <f t="shared" si="10"/>
        <v>1402760000</v>
      </c>
      <c r="K50" s="23">
        <f t="shared" si="10"/>
        <v>82905782</v>
      </c>
      <c r="L50" s="23">
        <f t="shared" si="10"/>
        <v>145398106</v>
      </c>
      <c r="M50" s="23">
        <f t="shared" si="10"/>
        <v>328529577</v>
      </c>
      <c r="O50">
        <f t="shared" si="9"/>
        <v>2018</v>
      </c>
      <c r="P50" s="19">
        <f t="shared" si="11"/>
        <v>7.6520000000000001</v>
      </c>
      <c r="Q50">
        <f t="shared" si="11"/>
        <v>4.3099999999999996</v>
      </c>
      <c r="R50">
        <f t="shared" si="11"/>
        <v>3.3839999999999999</v>
      </c>
      <c r="S50">
        <f t="shared" si="11"/>
        <v>4.8710000000000004</v>
      </c>
      <c r="T50" s="18">
        <f t="shared" si="11"/>
        <v>3.8959999999999999</v>
      </c>
    </row>
    <row r="51" spans="1:20" x14ac:dyDescent="0.3">
      <c r="A51" t="str">
        <f>Clean_Data!A49</f>
        <v>China</v>
      </c>
      <c r="B51">
        <f>Clean_Data!C49</f>
        <v>2022</v>
      </c>
      <c r="C51" s="19">
        <f>Clean_Data!D49</f>
        <v>12970.605641432652</v>
      </c>
      <c r="D51" s="19">
        <f>Clean_Data!E49</f>
        <v>1.9735755573905001</v>
      </c>
      <c r="E51" s="20">
        <f>Clean_Data!F49</f>
        <v>4.9800000000000004</v>
      </c>
      <c r="F51" s="21">
        <f>Clean_Data!G49</f>
        <v>1412175000</v>
      </c>
      <c r="H51">
        <f t="shared" si="8"/>
        <v>2019</v>
      </c>
      <c r="I51" s="23">
        <f t="shared" si="10"/>
        <v>1389030312</v>
      </c>
      <c r="J51" s="23">
        <f t="shared" si="10"/>
        <v>1407745000</v>
      </c>
      <c r="K51" s="23">
        <f t="shared" si="10"/>
        <v>83092962</v>
      </c>
      <c r="L51" s="23">
        <f t="shared" si="10"/>
        <v>145453291</v>
      </c>
      <c r="M51" s="23">
        <f t="shared" si="10"/>
        <v>330226227</v>
      </c>
      <c r="O51">
        <f t="shared" si="9"/>
        <v>2019</v>
      </c>
      <c r="P51" s="19">
        <f t="shared" si="11"/>
        <v>6.51</v>
      </c>
      <c r="Q51">
        <f t="shared" si="11"/>
        <v>4.5599999999999996</v>
      </c>
      <c r="R51">
        <f t="shared" si="11"/>
        <v>3.1629999999999998</v>
      </c>
      <c r="S51">
        <f t="shared" si="11"/>
        <v>4.5129999999999999</v>
      </c>
      <c r="T51" s="18">
        <f t="shared" si="11"/>
        <v>3.669</v>
      </c>
    </row>
    <row r="52" spans="1:20" x14ac:dyDescent="0.3">
      <c r="A52" t="str">
        <f>Clean_Data!A50</f>
        <v>China</v>
      </c>
      <c r="B52">
        <f>Clean_Data!C50</f>
        <v>2023</v>
      </c>
      <c r="C52" s="19">
        <f>Clean_Data!D50</f>
        <v>12951.178239704273</v>
      </c>
      <c r="D52" s="19">
        <f>Clean_Data!E50</f>
        <v>0.23483682889304999</v>
      </c>
      <c r="E52" s="20">
        <f>Clean_Data!F50</f>
        <v>4.67</v>
      </c>
      <c r="F52" s="21">
        <f>Clean_Data!G50</f>
        <v>1410710000</v>
      </c>
      <c r="H52">
        <f t="shared" si="8"/>
        <v>2020</v>
      </c>
      <c r="I52" s="23">
        <f t="shared" si="10"/>
        <v>1402617695</v>
      </c>
      <c r="J52" s="23">
        <f t="shared" si="10"/>
        <v>1411100000</v>
      </c>
      <c r="K52" s="23">
        <f t="shared" si="10"/>
        <v>83160871</v>
      </c>
      <c r="L52" s="23">
        <f t="shared" si="10"/>
        <v>145245148</v>
      </c>
      <c r="M52" s="23">
        <f t="shared" si="10"/>
        <v>331578104</v>
      </c>
      <c r="O52">
        <f t="shared" si="9"/>
        <v>2020</v>
      </c>
      <c r="P52" s="19">
        <f t="shared" si="11"/>
        <v>7.859</v>
      </c>
      <c r="Q52">
        <f t="shared" si="11"/>
        <v>5</v>
      </c>
      <c r="R52">
        <f t="shared" si="11"/>
        <v>3.8809999999999998</v>
      </c>
      <c r="S52">
        <f t="shared" si="11"/>
        <v>5.62</v>
      </c>
      <c r="T52" s="18">
        <f t="shared" si="11"/>
        <v>8.0549999999999997</v>
      </c>
    </row>
    <row r="53" spans="1:20" x14ac:dyDescent="0.3">
      <c r="A53" t="str">
        <f>Clean_Data!A51</f>
        <v>China</v>
      </c>
      <c r="B53">
        <f>Clean_Data!C51</f>
        <v>2024</v>
      </c>
      <c r="C53" s="19">
        <f>Clean_Data!D51</f>
        <v>13293.116226936598</v>
      </c>
      <c r="D53" s="19">
        <f>Clean_Data!E51</f>
        <v>0.21812893843917699</v>
      </c>
      <c r="E53" s="20">
        <f>Clean_Data!F51</f>
        <v>4.59</v>
      </c>
      <c r="F53" s="21">
        <f>Clean_Data!G51</f>
        <v>1408975000</v>
      </c>
      <c r="H53">
        <f t="shared" si="8"/>
        <v>2021</v>
      </c>
      <c r="I53" s="23">
        <f t="shared" si="10"/>
        <v>1414203896</v>
      </c>
      <c r="J53" s="23">
        <f t="shared" si="10"/>
        <v>1412360000</v>
      </c>
      <c r="K53" s="23">
        <f t="shared" si="10"/>
        <v>83196078</v>
      </c>
      <c r="L53" s="23">
        <f t="shared" si="10"/>
        <v>144746762</v>
      </c>
      <c r="M53" s="23">
        <f t="shared" si="10"/>
        <v>332100166</v>
      </c>
      <c r="O53">
        <f t="shared" si="9"/>
        <v>2021</v>
      </c>
      <c r="P53" s="19">
        <f t="shared" si="11"/>
        <v>6.38</v>
      </c>
      <c r="Q53">
        <f t="shared" si="11"/>
        <v>4.55</v>
      </c>
      <c r="R53">
        <f t="shared" si="11"/>
        <v>3.5939999999999999</v>
      </c>
      <c r="S53">
        <f t="shared" si="11"/>
        <v>4.7489999999999997</v>
      </c>
      <c r="T53" s="18">
        <f t="shared" si="11"/>
        <v>5.3490000000000002</v>
      </c>
    </row>
    <row r="54" spans="1:20" x14ac:dyDescent="0.3">
      <c r="A54" t="str">
        <f>Clean_Data!A52</f>
        <v>France</v>
      </c>
      <c r="B54">
        <f>Clean_Data!C52</f>
        <v>2000</v>
      </c>
      <c r="C54" s="19">
        <f>Clean_Data!D52</f>
        <v>22340.593951621708</v>
      </c>
      <c r="D54" s="19">
        <f>Clean_Data!E52</f>
        <v>1.67061991153283</v>
      </c>
      <c r="E54" s="20">
        <f>Clean_Data!F52</f>
        <v>10.218</v>
      </c>
      <c r="F54" s="21">
        <f>Clean_Data!G52</f>
        <v>60918661</v>
      </c>
      <c r="H54">
        <f t="shared" si="8"/>
        <v>2022</v>
      </c>
      <c r="I54" s="23">
        <f t="shared" si="10"/>
        <v>1425423212</v>
      </c>
      <c r="J54" s="23">
        <f t="shared" si="10"/>
        <v>1412175000</v>
      </c>
      <c r="K54" s="23">
        <f t="shared" si="10"/>
        <v>83177813</v>
      </c>
      <c r="L54" s="23">
        <f t="shared" si="10"/>
        <v>144236933</v>
      </c>
      <c r="M54" s="23">
        <f t="shared" si="10"/>
        <v>333996304</v>
      </c>
      <c r="O54">
        <f t="shared" si="9"/>
        <v>2022</v>
      </c>
      <c r="P54" s="19">
        <f t="shared" si="11"/>
        <v>4.8220000000000001</v>
      </c>
      <c r="Q54">
        <f t="shared" si="11"/>
        <v>4.9800000000000004</v>
      </c>
      <c r="R54">
        <f t="shared" si="11"/>
        <v>3.137</v>
      </c>
      <c r="S54">
        <f t="shared" si="11"/>
        <v>3.867</v>
      </c>
      <c r="T54" s="18">
        <f t="shared" si="11"/>
        <v>3.65</v>
      </c>
    </row>
    <row r="55" spans="1:20" x14ac:dyDescent="0.3">
      <c r="A55" t="str">
        <f>Clean_Data!A53</f>
        <v>France</v>
      </c>
      <c r="B55">
        <f>Clean_Data!C53</f>
        <v>2001</v>
      </c>
      <c r="C55" s="19">
        <f>Clean_Data!D53</f>
        <v>22331.794834303619</v>
      </c>
      <c r="D55" s="19">
        <f>Clean_Data!E53</f>
        <v>1.63812454286363</v>
      </c>
      <c r="E55" s="20">
        <f>Clean_Data!F53</f>
        <v>8.61</v>
      </c>
      <c r="F55" s="21">
        <f>Clean_Data!G53</f>
        <v>61364377</v>
      </c>
      <c r="H55">
        <f t="shared" si="8"/>
        <v>2023</v>
      </c>
      <c r="I55" s="23">
        <f t="shared" si="10"/>
        <v>1438069596</v>
      </c>
      <c r="J55" s="23">
        <f t="shared" si="10"/>
        <v>1410710000</v>
      </c>
      <c r="K55" s="23">
        <f t="shared" si="10"/>
        <v>83287273</v>
      </c>
      <c r="L55" s="23">
        <f t="shared" si="10"/>
        <v>143826130</v>
      </c>
      <c r="M55" s="23">
        <f t="shared" si="10"/>
        <v>336755052</v>
      </c>
      <c r="O55">
        <f t="shared" si="9"/>
        <v>2023</v>
      </c>
      <c r="P55" s="19">
        <f t="shared" si="11"/>
        <v>4.1719999999999997</v>
      </c>
      <c r="Q55">
        <f t="shared" si="11"/>
        <v>4.67</v>
      </c>
      <c r="R55">
        <f t="shared" si="11"/>
        <v>3.0710000000000002</v>
      </c>
      <c r="S55">
        <f t="shared" si="11"/>
        <v>3.0760000000000001</v>
      </c>
      <c r="T55" s="18">
        <f t="shared" si="11"/>
        <v>3.6379999999999999</v>
      </c>
    </row>
    <row r="56" spans="1:20" x14ac:dyDescent="0.3">
      <c r="A56" t="str">
        <f>Clean_Data!A54</f>
        <v>France</v>
      </c>
      <c r="B56">
        <f>Clean_Data!C54</f>
        <v>2002</v>
      </c>
      <c r="C56" s="19">
        <f>Clean_Data!D54</f>
        <v>24144.572701952864</v>
      </c>
      <c r="D56" s="19">
        <f>Clean_Data!E54</f>
        <v>1.92190776331623</v>
      </c>
      <c r="E56" s="20">
        <f>Clean_Data!F54</f>
        <v>8.702</v>
      </c>
      <c r="F56" s="21">
        <f>Clean_Data!G54</f>
        <v>61812142</v>
      </c>
      <c r="H56">
        <f t="shared" si="8"/>
        <v>2024</v>
      </c>
      <c r="I56" s="23">
        <f t="shared" si="10"/>
        <v>1450935791</v>
      </c>
      <c r="J56" s="23">
        <f t="shared" si="10"/>
        <v>1408975000</v>
      </c>
      <c r="K56" s="23">
        <f t="shared" si="10"/>
        <v>83516593</v>
      </c>
      <c r="L56" s="23">
        <f t="shared" si="10"/>
        <v>143669648</v>
      </c>
      <c r="M56" s="23">
        <f t="shared" si="10"/>
        <v>340003797</v>
      </c>
      <c r="O56">
        <f>O55+1</f>
        <v>2024</v>
      </c>
      <c r="P56" s="19">
        <f t="shared" si="11"/>
        <v>4.173</v>
      </c>
      <c r="Q56">
        <f t="shared" si="11"/>
        <v>4.59</v>
      </c>
      <c r="R56">
        <f t="shared" si="11"/>
        <v>3.4</v>
      </c>
      <c r="S56">
        <f t="shared" si="11"/>
        <v>2.4300000000000002</v>
      </c>
      <c r="T56" s="18">
        <f t="shared" si="11"/>
        <v>4.0220000000000002</v>
      </c>
    </row>
    <row r="57" spans="1:20" x14ac:dyDescent="0.3">
      <c r="A57" t="str">
        <f>Clean_Data!A55</f>
        <v>France</v>
      </c>
      <c r="B57">
        <f>Clean_Data!C55</f>
        <v>2003</v>
      </c>
      <c r="C57" s="19">
        <f>Clean_Data!D55</f>
        <v>29479.522210117506</v>
      </c>
      <c r="D57" s="19">
        <f>Clean_Data!E55</f>
        <v>2.0987023105203</v>
      </c>
      <c r="E57" s="20">
        <f>Clean_Data!F55</f>
        <v>8.3059999999999992</v>
      </c>
      <c r="F57" s="21">
        <f>Clean_Data!G55</f>
        <v>62249855</v>
      </c>
    </row>
    <row r="58" spans="1:20" x14ac:dyDescent="0.3">
      <c r="A58" t="str">
        <f>Clean_Data!A56</f>
        <v>France</v>
      </c>
      <c r="B58">
        <f>Clean_Data!C56</f>
        <v>2004</v>
      </c>
      <c r="C58" s="19">
        <f>Clean_Data!D56</f>
        <v>33644.928222036418</v>
      </c>
      <c r="D58" s="19">
        <f>Clean_Data!E56</f>
        <v>2.1461786097531901</v>
      </c>
      <c r="E58" s="20">
        <f>Clean_Data!F56</f>
        <v>8.9139999999999997</v>
      </c>
      <c r="F58" s="21">
        <f>Clean_Data!G56</f>
        <v>62707588</v>
      </c>
    </row>
    <row r="59" spans="1:20" x14ac:dyDescent="0.3">
      <c r="A59" t="str">
        <f>Clean_Data!A57</f>
        <v>France</v>
      </c>
      <c r="B59">
        <f>Clean_Data!C57</f>
        <v>2005</v>
      </c>
      <c r="C59" s="19">
        <f>Clean_Data!D57</f>
        <v>34696.37183169715</v>
      </c>
      <c r="D59" s="19">
        <f>Clean_Data!E57</f>
        <v>1.74156647601258</v>
      </c>
      <c r="E59" s="20">
        <f>Clean_Data!F57</f>
        <v>8.8819999999999997</v>
      </c>
      <c r="F59" s="21">
        <f>Clean_Data!G57</f>
        <v>63180854</v>
      </c>
    </row>
    <row r="60" spans="1:20" x14ac:dyDescent="0.3">
      <c r="A60" t="str">
        <f>Clean_Data!A58</f>
        <v>France</v>
      </c>
      <c r="B60">
        <f>Clean_Data!C58</f>
        <v>2006</v>
      </c>
      <c r="C60" s="19">
        <f>Clean_Data!D58</f>
        <v>36431.565890655525</v>
      </c>
      <c r="D60" s="19">
        <f>Clean_Data!E58</f>
        <v>1.67618916500309</v>
      </c>
      <c r="E60" s="20">
        <f>Clean_Data!F58</f>
        <v>8.8320000000000007</v>
      </c>
      <c r="F60" s="21">
        <f>Clean_Data!G58</f>
        <v>63622342</v>
      </c>
    </row>
    <row r="61" spans="1:20" x14ac:dyDescent="0.3">
      <c r="A61" t="str">
        <f>Clean_Data!A59</f>
        <v>France</v>
      </c>
      <c r="B61">
        <f>Clean_Data!C59</f>
        <v>2007</v>
      </c>
      <c r="C61" s="19">
        <f>Clean_Data!D59</f>
        <v>41486.190782878672</v>
      </c>
      <c r="D61" s="19">
        <f>Clean_Data!E59</f>
        <v>1.48832695801316</v>
      </c>
      <c r="E61" s="20">
        <f>Clean_Data!F59</f>
        <v>8.0079999999999991</v>
      </c>
      <c r="F61" s="21">
        <f>Clean_Data!G59</f>
        <v>64016890</v>
      </c>
    </row>
    <row r="62" spans="1:20" x14ac:dyDescent="0.3">
      <c r="A62" t="str">
        <f>Clean_Data!A60</f>
        <v>France</v>
      </c>
      <c r="B62">
        <f>Clean_Data!C60</f>
        <v>2008</v>
      </c>
      <c r="C62" s="19">
        <f>Clean_Data!D60</f>
        <v>45464.818138515802</v>
      </c>
      <c r="D62" s="19">
        <f>Clean_Data!E60</f>
        <v>2.8129238842809898</v>
      </c>
      <c r="E62" s="20">
        <f>Clean_Data!F60</f>
        <v>7.3860000000000001</v>
      </c>
      <c r="F62" s="21">
        <f>Clean_Data!G60</f>
        <v>64375116</v>
      </c>
    </row>
    <row r="63" spans="1:20" x14ac:dyDescent="0.3">
      <c r="A63" t="str">
        <f>Clean_Data!A61</f>
        <v>France</v>
      </c>
      <c r="B63">
        <f>Clean_Data!C61</f>
        <v>2009</v>
      </c>
      <c r="C63" s="19">
        <f>Clean_Data!D61</f>
        <v>41728.088416413208</v>
      </c>
      <c r="D63" s="19">
        <f>Clean_Data!E61</f>
        <v>8.7594082533068801E-2</v>
      </c>
      <c r="E63" s="20">
        <f>Clean_Data!F61</f>
        <v>9.1219999999999999</v>
      </c>
      <c r="F63" s="21">
        <f>Clean_Data!G61</f>
        <v>64706436</v>
      </c>
    </row>
    <row r="64" spans="1:20" x14ac:dyDescent="0.3">
      <c r="A64" t="str">
        <f>Clean_Data!A62</f>
        <v>France</v>
      </c>
      <c r="B64">
        <f>Clean_Data!C62</f>
        <v>2010</v>
      </c>
      <c r="C64" s="19">
        <f>Clean_Data!D62</f>
        <v>40694.821169702453</v>
      </c>
      <c r="D64" s="19">
        <f>Clean_Data!E62</f>
        <v>1.5331755858805001</v>
      </c>
      <c r="E64" s="20">
        <f>Clean_Data!F62</f>
        <v>9.2789999999999999</v>
      </c>
      <c r="F64" s="21">
        <f>Clean_Data!G62</f>
        <v>65026211</v>
      </c>
    </row>
    <row r="65" spans="1:6" x14ac:dyDescent="0.3">
      <c r="A65" t="str">
        <f>Clean_Data!A63</f>
        <v>France</v>
      </c>
      <c r="B65">
        <f>Clean_Data!C63</f>
        <v>2011</v>
      </c>
      <c r="C65" s="19">
        <f>Clean_Data!D63</f>
        <v>43929.784087381166</v>
      </c>
      <c r="D65" s="19">
        <f>Clean_Data!E63</f>
        <v>2.1080747456689002</v>
      </c>
      <c r="E65" s="20">
        <f>Clean_Data!F63</f>
        <v>9.2279999999999998</v>
      </c>
      <c r="F65" s="21">
        <f>Clean_Data!G63</f>
        <v>65340830</v>
      </c>
    </row>
    <row r="66" spans="1:6" x14ac:dyDescent="0.3">
      <c r="A66" t="str">
        <f>Clean_Data!A64</f>
        <v>France</v>
      </c>
      <c r="B66">
        <f>Clean_Data!C64</f>
        <v>2012</v>
      </c>
      <c r="C66" s="19">
        <f>Clean_Data!D64</f>
        <v>40863.581441233335</v>
      </c>
      <c r="D66" s="19">
        <f>Clean_Data!E64</f>
        <v>1.95512386272455</v>
      </c>
      <c r="E66" s="20">
        <f>Clean_Data!F64</f>
        <v>9.8409999999999993</v>
      </c>
      <c r="F66" s="21">
        <f>Clean_Data!G64</f>
        <v>65657659</v>
      </c>
    </row>
    <row r="67" spans="1:6" x14ac:dyDescent="0.3">
      <c r="A67" t="str">
        <f>Clean_Data!A65</f>
        <v>France</v>
      </c>
      <c r="B67">
        <f>Clean_Data!C65</f>
        <v>2013</v>
      </c>
      <c r="C67" s="19">
        <f>Clean_Data!D65</f>
        <v>42669.179511189272</v>
      </c>
      <c r="D67" s="19">
        <f>Clean_Data!E65</f>
        <v>0.86272986537727303</v>
      </c>
      <c r="E67" s="20">
        <f>Clean_Data!F65</f>
        <v>9.9130000000000003</v>
      </c>
      <c r="F67" s="21">
        <f>Clean_Data!G65</f>
        <v>65997932</v>
      </c>
    </row>
    <row r="68" spans="1:6" x14ac:dyDescent="0.3">
      <c r="A68" t="str">
        <f>Clean_Data!A66</f>
        <v>France</v>
      </c>
      <c r="B68">
        <f>Clean_Data!C66</f>
        <v>2014</v>
      </c>
      <c r="C68" s="19">
        <f>Clean_Data!D66</f>
        <v>43148.045928841602</v>
      </c>
      <c r="D68" s="19">
        <f>Clean_Data!E66</f>
        <v>0.50773767900035005</v>
      </c>
      <c r="E68" s="20">
        <f>Clean_Data!F66</f>
        <v>10.273</v>
      </c>
      <c r="F68" s="21">
        <f>Clean_Data!G66</f>
        <v>66312067</v>
      </c>
    </row>
    <row r="69" spans="1:6" x14ac:dyDescent="0.3">
      <c r="A69" t="str">
        <f>Clean_Data!A67</f>
        <v>France</v>
      </c>
      <c r="B69">
        <f>Clean_Data!C67</f>
        <v>2015</v>
      </c>
      <c r="C69" s="19">
        <f>Clean_Data!D67</f>
        <v>36702.432373337935</v>
      </c>
      <c r="D69" s="19">
        <f>Clean_Data!E67</f>
        <v>4.0333151834164402E-2</v>
      </c>
      <c r="E69" s="20">
        <f>Clean_Data!F67</f>
        <v>10.353999999999999</v>
      </c>
      <c r="F69" s="21">
        <f>Clean_Data!G67</f>
        <v>66548272</v>
      </c>
    </row>
    <row r="70" spans="1:6" x14ac:dyDescent="0.3">
      <c r="A70" t="str">
        <f>Clean_Data!A68</f>
        <v>France</v>
      </c>
      <c r="B70">
        <f>Clean_Data!C68</f>
        <v>2016</v>
      </c>
      <c r="C70" s="19">
        <f>Clean_Data!D68</f>
        <v>37024.215713366888</v>
      </c>
      <c r="D70" s="19">
        <f>Clean_Data!E68</f>
        <v>0.18444977523328801</v>
      </c>
      <c r="E70" s="20">
        <f>Clean_Data!F68</f>
        <v>10.057</v>
      </c>
      <c r="F70" s="21">
        <f>Clean_Data!G68</f>
        <v>66724104</v>
      </c>
    </row>
    <row r="71" spans="1:6" x14ac:dyDescent="0.3">
      <c r="A71" t="str">
        <f>Clean_Data!A69</f>
        <v>France</v>
      </c>
      <c r="B71">
        <f>Clean_Data!C69</f>
        <v>2017</v>
      </c>
      <c r="C71" s="19">
        <f>Clean_Data!D69</f>
        <v>38687.162640716364</v>
      </c>
      <c r="D71" s="19">
        <f>Clean_Data!E69</f>
        <v>1.0292061128605201</v>
      </c>
      <c r="E71" s="20">
        <f>Clean_Data!F69</f>
        <v>9.4090000000000007</v>
      </c>
      <c r="F71" s="21">
        <f>Clean_Data!G69</f>
        <v>66918020</v>
      </c>
    </row>
    <row r="72" spans="1:6" x14ac:dyDescent="0.3">
      <c r="A72" t="str">
        <f>Clean_Data!A70</f>
        <v>France</v>
      </c>
      <c r="B72">
        <f>Clean_Data!C70</f>
        <v>2018</v>
      </c>
      <c r="C72" s="19">
        <f>Clean_Data!D70</f>
        <v>41418.176648484419</v>
      </c>
      <c r="D72" s="19">
        <f>Clean_Data!E70</f>
        <v>1.85222067317272</v>
      </c>
      <c r="E72" s="20">
        <f>Clean_Data!F70</f>
        <v>9.0180000000000007</v>
      </c>
      <c r="F72" s="21">
        <f>Clean_Data!G70</f>
        <v>67158348</v>
      </c>
    </row>
    <row r="73" spans="1:6" x14ac:dyDescent="0.3">
      <c r="A73" t="str">
        <f>Clean_Data!A71</f>
        <v>France</v>
      </c>
      <c r="B73">
        <f>Clean_Data!C71</f>
        <v>2019</v>
      </c>
      <c r="C73" s="19">
        <f>Clean_Data!D71</f>
        <v>40408.284857475053</v>
      </c>
      <c r="D73" s="19">
        <f>Clean_Data!E71</f>
        <v>1.1067657411028999</v>
      </c>
      <c r="E73" s="20">
        <f>Clean_Data!F71</f>
        <v>8.4149999999999991</v>
      </c>
      <c r="F73" s="21">
        <f>Clean_Data!G71</f>
        <v>67382061</v>
      </c>
    </row>
    <row r="74" spans="1:6" x14ac:dyDescent="0.3">
      <c r="A74" t="str">
        <f>Clean_Data!A72</f>
        <v>France</v>
      </c>
      <c r="B74">
        <f>Clean_Data!C72</f>
        <v>2020</v>
      </c>
      <c r="C74" s="19">
        <f>Clean_Data!D72</f>
        <v>39169.860600070715</v>
      </c>
      <c r="D74" s="19">
        <f>Clean_Data!E72</f>
        <v>0.47770084709702199</v>
      </c>
      <c r="E74" s="20">
        <f>Clean_Data!F72</f>
        <v>8.0090000000000003</v>
      </c>
      <c r="F74" s="21">
        <f>Clean_Data!G72</f>
        <v>67601110</v>
      </c>
    </row>
    <row r="75" spans="1:6" x14ac:dyDescent="0.3">
      <c r="A75" t="str">
        <f>Clean_Data!A73</f>
        <v>France</v>
      </c>
      <c r="B75">
        <f>Clean_Data!C73</f>
        <v>2021</v>
      </c>
      <c r="C75" s="19">
        <f>Clean_Data!D73</f>
        <v>43725.099952124503</v>
      </c>
      <c r="D75" s="19">
        <f>Clean_Data!E73</f>
        <v>1.64090620368408</v>
      </c>
      <c r="E75" s="20">
        <f>Clean_Data!F73</f>
        <v>7.8710000000000004</v>
      </c>
      <c r="F75" s="21">
        <f>Clean_Data!G73</f>
        <v>67842811</v>
      </c>
    </row>
    <row r="76" spans="1:6" x14ac:dyDescent="0.3">
      <c r="A76" t="str">
        <f>Clean_Data!A74</f>
        <v>France</v>
      </c>
      <c r="B76">
        <f>Clean_Data!C74</f>
        <v>2022</v>
      </c>
      <c r="C76" s="19">
        <f>Clean_Data!D74</f>
        <v>40988.639640657944</v>
      </c>
      <c r="D76" s="19">
        <f>Clean_Data!E74</f>
        <v>5.2229407921523103</v>
      </c>
      <c r="E76" s="20">
        <f>Clean_Data!F74</f>
        <v>7.3029999999999999</v>
      </c>
      <c r="F76" s="21">
        <f>Clean_Data!G74</f>
        <v>68184457</v>
      </c>
    </row>
    <row r="77" spans="1:6" x14ac:dyDescent="0.3">
      <c r="A77" t="str">
        <f>Clean_Data!A75</f>
        <v>France</v>
      </c>
      <c r="B77">
        <f>Clean_Data!C75</f>
        <v>2023</v>
      </c>
      <c r="C77" s="19">
        <f>Clean_Data!D75</f>
        <v>44700.138417754366</v>
      </c>
      <c r="D77" s="19">
        <f>Clean_Data!E75</f>
        <v>4.8800021596911902</v>
      </c>
      <c r="E77" s="20">
        <f>Clean_Data!F75</f>
        <v>7.335</v>
      </c>
      <c r="F77" s="21">
        <f>Clean_Data!G75</f>
        <v>68372286</v>
      </c>
    </row>
    <row r="78" spans="1:6" x14ac:dyDescent="0.3">
      <c r="A78" t="str">
        <f>Clean_Data!A76</f>
        <v>France</v>
      </c>
      <c r="B78">
        <f>Clean_Data!C76</f>
        <v>2024</v>
      </c>
      <c r="C78" s="19">
        <f>Clean_Data!D76</f>
        <v>46103.084085588387</v>
      </c>
      <c r="D78" s="19">
        <f>Clean_Data!E76</f>
        <v>1.99742599742599</v>
      </c>
      <c r="E78" s="20">
        <f>Clean_Data!F76</f>
        <v>7.4</v>
      </c>
      <c r="F78" s="21">
        <f>Clean_Data!G76</f>
        <v>68551653</v>
      </c>
    </row>
    <row r="79" spans="1:6" x14ac:dyDescent="0.3">
      <c r="A79" t="str">
        <f>Clean_Data!A77</f>
        <v>Germany</v>
      </c>
      <c r="B79">
        <f>Clean_Data!C77</f>
        <v>2000</v>
      </c>
      <c r="C79" s="19">
        <f>Clean_Data!D77</f>
        <v>23925.855990199114</v>
      </c>
      <c r="D79" s="19">
        <f>Clean_Data!E77</f>
        <v>1.44026838719741</v>
      </c>
      <c r="E79" s="20">
        <f>Clean_Data!F77</f>
        <v>7.9169999999999998</v>
      </c>
      <c r="F79" s="21">
        <f>Clean_Data!G77</f>
        <v>82211508</v>
      </c>
    </row>
    <row r="80" spans="1:6" x14ac:dyDescent="0.3">
      <c r="A80" t="str">
        <f>Clean_Data!A78</f>
        <v>Germany</v>
      </c>
      <c r="B80">
        <f>Clean_Data!C78</f>
        <v>2001</v>
      </c>
      <c r="C80" s="19">
        <f>Clean_Data!D78</f>
        <v>23878.364147165095</v>
      </c>
      <c r="D80" s="19">
        <f>Clean_Data!E78</f>
        <v>1.9838573133447099</v>
      </c>
      <c r="E80" s="20">
        <f>Clean_Data!F78</f>
        <v>7.7729999999999997</v>
      </c>
      <c r="F80" s="21">
        <f>Clean_Data!G78</f>
        <v>82349925</v>
      </c>
    </row>
    <row r="81" spans="1:6" x14ac:dyDescent="0.3">
      <c r="A81" t="str">
        <f>Clean_Data!A79</f>
        <v>Germany</v>
      </c>
      <c r="B81">
        <f>Clean_Data!C79</f>
        <v>2002</v>
      </c>
      <c r="C81" s="19">
        <f>Clean_Data!D79</f>
        <v>25486.594200874752</v>
      </c>
      <c r="D81" s="19">
        <f>Clean_Data!E79</f>
        <v>1.42080615551526</v>
      </c>
      <c r="E81" s="20">
        <f>Clean_Data!F79</f>
        <v>8.4819999999999993</v>
      </c>
      <c r="F81" s="21">
        <f>Clean_Data!G79</f>
        <v>82488495</v>
      </c>
    </row>
    <row r="82" spans="1:6" x14ac:dyDescent="0.3">
      <c r="A82" t="str">
        <f>Clean_Data!A80</f>
        <v>Germany</v>
      </c>
      <c r="B82">
        <f>Clean_Data!C80</f>
        <v>2003</v>
      </c>
      <c r="C82" s="19">
        <f>Clean_Data!D80</f>
        <v>30711.102251133085</v>
      </c>
      <c r="D82" s="19">
        <f>Clean_Data!E80</f>
        <v>1.03422218628562</v>
      </c>
      <c r="E82" s="20">
        <f>Clean_Data!F80</f>
        <v>9.7789999999999999</v>
      </c>
      <c r="F82" s="21">
        <f>Clean_Data!G80</f>
        <v>82534176</v>
      </c>
    </row>
    <row r="83" spans="1:6" x14ac:dyDescent="0.3">
      <c r="A83" t="str">
        <f>Clean_Data!A81</f>
        <v>Germany</v>
      </c>
      <c r="B83">
        <f>Clean_Data!C81</f>
        <v>2004</v>
      </c>
      <c r="C83" s="19">
        <f>Clean_Data!D81</f>
        <v>34566.73591437353</v>
      </c>
      <c r="D83" s="19">
        <f>Clean_Data!E81</f>
        <v>1.66573696655991</v>
      </c>
      <c r="E83" s="20">
        <f>Clean_Data!F81</f>
        <v>10.727</v>
      </c>
      <c r="F83" s="21">
        <f>Clean_Data!G81</f>
        <v>82516260</v>
      </c>
    </row>
    <row r="84" spans="1:6" x14ac:dyDescent="0.3">
      <c r="A84" t="str">
        <f>Clean_Data!A82</f>
        <v>Germany</v>
      </c>
      <c r="B84">
        <f>Clean_Data!C82</f>
        <v>2005</v>
      </c>
      <c r="C84" s="19">
        <f>Clean_Data!D82</f>
        <v>35084.436354626887</v>
      </c>
      <c r="D84" s="19">
        <f>Clean_Data!E82</f>
        <v>1.54691114751328</v>
      </c>
      <c r="E84" s="20">
        <f>Clean_Data!F82</f>
        <v>11.193</v>
      </c>
      <c r="F84" s="21">
        <f>Clean_Data!G82</f>
        <v>82469422</v>
      </c>
    </row>
    <row r="85" spans="1:6" x14ac:dyDescent="0.3">
      <c r="A85" t="str">
        <f>Clean_Data!A83</f>
        <v>Germany</v>
      </c>
      <c r="B85">
        <f>Clean_Data!C83</f>
        <v>2006</v>
      </c>
      <c r="C85" s="19">
        <f>Clean_Data!D83</f>
        <v>36980.334994895376</v>
      </c>
      <c r="D85" s="19">
        <f>Clean_Data!E83</f>
        <v>1.5774264284056301</v>
      </c>
      <c r="E85" s="20">
        <f>Clean_Data!F83</f>
        <v>10.276999999999999</v>
      </c>
      <c r="F85" s="21">
        <f>Clean_Data!G83</f>
        <v>82376451</v>
      </c>
    </row>
    <row r="86" spans="1:6" x14ac:dyDescent="0.3">
      <c r="A86" t="str">
        <f>Clean_Data!A84</f>
        <v>Germany</v>
      </c>
      <c r="B86">
        <f>Clean_Data!C84</f>
        <v>2007</v>
      </c>
      <c r="C86" s="19">
        <f>Clean_Data!D84</f>
        <v>42350.921721148872</v>
      </c>
      <c r="D86" s="19">
        <f>Clean_Data!E84</f>
        <v>2.2983440070094998</v>
      </c>
      <c r="E86" s="20">
        <f>Clean_Data!F84</f>
        <v>8.7319999999999993</v>
      </c>
      <c r="F86" s="21">
        <f>Clean_Data!G84</f>
        <v>82266372</v>
      </c>
    </row>
    <row r="87" spans="1:6" x14ac:dyDescent="0.3">
      <c r="A87" t="str">
        <f>Clean_Data!A85</f>
        <v>Germany</v>
      </c>
      <c r="B87">
        <f>Clean_Data!C85</f>
        <v>2008</v>
      </c>
      <c r="C87" s="19">
        <f>Clean_Data!D85</f>
        <v>46379.164795347875</v>
      </c>
      <c r="D87" s="19">
        <f>Clean_Data!E85</f>
        <v>2.6283798163721901</v>
      </c>
      <c r="E87" s="20">
        <f>Clean_Data!F85</f>
        <v>7.508</v>
      </c>
      <c r="F87" s="21">
        <f>Clean_Data!G85</f>
        <v>82110097</v>
      </c>
    </row>
    <row r="88" spans="1:6" x14ac:dyDescent="0.3">
      <c r="A88" t="str">
        <f>Clean_Data!A86</f>
        <v>Germany</v>
      </c>
      <c r="B88">
        <f>Clean_Data!C86</f>
        <v>2009</v>
      </c>
      <c r="C88" s="19">
        <f>Clean_Data!D86</f>
        <v>42471.88686252258</v>
      </c>
      <c r="D88" s="19">
        <f>Clean_Data!E86</f>
        <v>0.31273900736844601</v>
      </c>
      <c r="E88" s="20">
        <f>Clean_Data!F86</f>
        <v>7.88</v>
      </c>
      <c r="F88" s="21">
        <f>Clean_Data!G86</f>
        <v>81902307</v>
      </c>
    </row>
    <row r="89" spans="1:6" x14ac:dyDescent="0.3">
      <c r="A89" t="str">
        <f>Clean_Data!A87</f>
        <v>Germany</v>
      </c>
      <c r="B89">
        <f>Clean_Data!C87</f>
        <v>2010</v>
      </c>
      <c r="C89" s="19">
        <f>Clean_Data!D87</f>
        <v>42396.966597629347</v>
      </c>
      <c r="D89" s="19">
        <f>Clean_Data!E87</f>
        <v>1.1038103778926001</v>
      </c>
      <c r="E89" s="20">
        <f>Clean_Data!F87</f>
        <v>7.0430000000000001</v>
      </c>
      <c r="F89" s="21">
        <f>Clean_Data!G87</f>
        <v>81776930</v>
      </c>
    </row>
    <row r="90" spans="1:6" x14ac:dyDescent="0.3">
      <c r="A90" t="str">
        <f>Clean_Data!A88</f>
        <v>Germany</v>
      </c>
      <c r="B90">
        <f>Clean_Data!C88</f>
        <v>2011</v>
      </c>
      <c r="C90" s="19">
        <f>Clean_Data!D88</f>
        <v>47630.976188357236</v>
      </c>
      <c r="D90" s="19">
        <f>Clean_Data!E88</f>
        <v>2.0751728373587399</v>
      </c>
      <c r="E90" s="20">
        <f>Clean_Data!F88</f>
        <v>5.9669999999999996</v>
      </c>
      <c r="F90" s="21">
        <f>Clean_Data!G88</f>
        <v>80274983</v>
      </c>
    </row>
    <row r="91" spans="1:6" x14ac:dyDescent="0.3">
      <c r="A91" t="str">
        <f>Clean_Data!A89</f>
        <v>Germany</v>
      </c>
      <c r="B91">
        <f>Clean_Data!C89</f>
        <v>2012</v>
      </c>
      <c r="C91" s="19">
        <f>Clean_Data!D89</f>
        <v>44718.01592140687</v>
      </c>
      <c r="D91" s="19">
        <f>Clean_Data!E89</f>
        <v>2.0084888478295602</v>
      </c>
      <c r="E91" s="20">
        <f>Clean_Data!F89</f>
        <v>5.3719999999999999</v>
      </c>
      <c r="F91" s="21">
        <f>Clean_Data!G89</f>
        <v>80425823</v>
      </c>
    </row>
    <row r="92" spans="1:6" x14ac:dyDescent="0.3">
      <c r="A92" t="str">
        <f>Clean_Data!A90</f>
        <v>Germany</v>
      </c>
      <c r="B92">
        <f>Clean_Data!C90</f>
        <v>2013</v>
      </c>
      <c r="C92" s="19">
        <f>Clean_Data!D90</f>
        <v>47206.83535142419</v>
      </c>
      <c r="D92" s="19">
        <f>Clean_Data!E90</f>
        <v>1.5047233025187601</v>
      </c>
      <c r="E92" s="20">
        <f>Clean_Data!F90</f>
        <v>5.3159999999999998</v>
      </c>
      <c r="F92" s="21">
        <f>Clean_Data!G90</f>
        <v>80645605</v>
      </c>
    </row>
    <row r="93" spans="1:6" x14ac:dyDescent="0.3">
      <c r="A93" t="str">
        <f>Clean_Data!A91</f>
        <v>Germany</v>
      </c>
      <c r="B93">
        <f>Clean_Data!C91</f>
        <v>2014</v>
      </c>
      <c r="C93" s="19">
        <f>Clean_Data!D91</f>
        <v>48959.599120313287</v>
      </c>
      <c r="D93" s="19">
        <f>Clean_Data!E91</f>
        <v>0.90679400043424496</v>
      </c>
      <c r="E93" s="20">
        <f>Clean_Data!F91</f>
        <v>4.9790000000000001</v>
      </c>
      <c r="F93" s="21">
        <f>Clean_Data!G91</f>
        <v>80982500</v>
      </c>
    </row>
    <row r="94" spans="1:6" x14ac:dyDescent="0.3">
      <c r="A94" t="str">
        <f>Clean_Data!A92</f>
        <v>Germany</v>
      </c>
      <c r="B94">
        <f>Clean_Data!C92</f>
        <v>2015</v>
      </c>
      <c r="C94" s="19">
        <f>Clean_Data!D92</f>
        <v>41929.754911072167</v>
      </c>
      <c r="D94" s="19">
        <f>Clean_Data!E92</f>
        <v>0.51442613712545604</v>
      </c>
      <c r="E94" s="20">
        <f>Clean_Data!F92</f>
        <v>4.6120000000000001</v>
      </c>
      <c r="F94" s="21">
        <f>Clean_Data!G92</f>
        <v>81686611</v>
      </c>
    </row>
    <row r="95" spans="1:6" x14ac:dyDescent="0.3">
      <c r="A95" t="str">
        <f>Clean_Data!A93</f>
        <v>Germany</v>
      </c>
      <c r="B95">
        <f>Clean_Data!C93</f>
        <v>2016</v>
      </c>
      <c r="C95" s="19">
        <f>Clean_Data!D93</f>
        <v>42948.938193269365</v>
      </c>
      <c r="D95" s="19">
        <f>Clean_Data!E93</f>
        <v>0.49174700844517399</v>
      </c>
      <c r="E95" s="20">
        <f>Clean_Data!F93</f>
        <v>4.1040000000000001</v>
      </c>
      <c r="F95" s="21">
        <f>Clean_Data!G93</f>
        <v>82348669</v>
      </c>
    </row>
    <row r="96" spans="1:6" x14ac:dyDescent="0.3">
      <c r="A96" t="str">
        <f>Clean_Data!A94</f>
        <v>Germany</v>
      </c>
      <c r="B96">
        <f>Clean_Data!C94</f>
        <v>2017</v>
      </c>
      <c r="C96" s="19">
        <f>Clean_Data!D94</f>
        <v>45553.934149533859</v>
      </c>
      <c r="D96" s="19">
        <f>Clean_Data!E94</f>
        <v>1.50949485109628</v>
      </c>
      <c r="E96" s="20">
        <f>Clean_Data!F94</f>
        <v>3.7810000000000001</v>
      </c>
      <c r="F96" s="21">
        <f>Clean_Data!G94</f>
        <v>82657002</v>
      </c>
    </row>
    <row r="97" spans="1:6" x14ac:dyDescent="0.3">
      <c r="A97" t="str">
        <f>Clean_Data!A95</f>
        <v>Germany</v>
      </c>
      <c r="B97">
        <f>Clean_Data!C95</f>
        <v>2018</v>
      </c>
      <c r="C97" s="19">
        <f>Clean_Data!D95</f>
        <v>48916.16866121543</v>
      </c>
      <c r="D97" s="19">
        <f>Clean_Data!E95</f>
        <v>1.73216879766941</v>
      </c>
      <c r="E97" s="20">
        <f>Clean_Data!F95</f>
        <v>3.3839999999999999</v>
      </c>
      <c r="F97" s="21">
        <f>Clean_Data!G95</f>
        <v>82905782</v>
      </c>
    </row>
    <row r="98" spans="1:6" x14ac:dyDescent="0.3">
      <c r="A98" t="str">
        <f>Clean_Data!A96</f>
        <v>Germany</v>
      </c>
      <c r="B98">
        <f>Clean_Data!C96</f>
        <v>2019</v>
      </c>
      <c r="C98" s="19">
        <f>Clean_Data!D96</f>
        <v>47656.199739747026</v>
      </c>
      <c r="D98" s="19">
        <f>Clean_Data!E96</f>
        <v>1.4456597688825299</v>
      </c>
      <c r="E98" s="20">
        <f>Clean_Data!F96</f>
        <v>3.1629999999999998</v>
      </c>
      <c r="F98" s="21">
        <f>Clean_Data!G96</f>
        <v>83092962</v>
      </c>
    </row>
    <row r="99" spans="1:6" x14ac:dyDescent="0.3">
      <c r="A99" t="str">
        <f>Clean_Data!A97</f>
        <v>Germany</v>
      </c>
      <c r="B99">
        <f>Clean_Data!C97</f>
        <v>2020</v>
      </c>
      <c r="C99" s="19">
        <f>Clean_Data!D97</f>
        <v>47394.873450446918</v>
      </c>
      <c r="D99" s="19">
        <f>Clean_Data!E97</f>
        <v>0.14487792581398101</v>
      </c>
      <c r="E99" s="20">
        <f>Clean_Data!F97</f>
        <v>3.8809999999999998</v>
      </c>
      <c r="F99" s="21">
        <f>Clean_Data!G97</f>
        <v>83160871</v>
      </c>
    </row>
    <row r="100" spans="1:6" x14ac:dyDescent="0.3">
      <c r="A100" t="str">
        <f>Clean_Data!A98</f>
        <v>Germany</v>
      </c>
      <c r="B100">
        <f>Clean_Data!C98</f>
        <v>2021</v>
      </c>
      <c r="C100" s="19">
        <f>Clean_Data!D98</f>
        <v>52349.245999442217</v>
      </c>
      <c r="D100" s="19">
        <f>Clean_Data!E98</f>
        <v>3.0666666666667299</v>
      </c>
      <c r="E100" s="20">
        <f>Clean_Data!F98</f>
        <v>3.5939999999999999</v>
      </c>
      <c r="F100" s="21">
        <f>Clean_Data!G98</f>
        <v>83196078</v>
      </c>
    </row>
    <row r="101" spans="1:6" x14ac:dyDescent="0.3">
      <c r="A101" t="str">
        <f>Clean_Data!A99</f>
        <v>Germany</v>
      </c>
      <c r="B101">
        <f>Clean_Data!C99</f>
        <v>2022</v>
      </c>
      <c r="C101" s="19">
        <f>Clean_Data!D99</f>
        <v>50506.517963854327</v>
      </c>
      <c r="D101" s="19">
        <f>Clean_Data!E99</f>
        <v>6.8725743855109602</v>
      </c>
      <c r="E101" s="20">
        <f>Clean_Data!F99</f>
        <v>3.137</v>
      </c>
      <c r="F101" s="21">
        <f>Clean_Data!G99</f>
        <v>83177813</v>
      </c>
    </row>
    <row r="102" spans="1:6" x14ac:dyDescent="0.3">
      <c r="A102" t="str">
        <f>Clean_Data!A100</f>
        <v>Germany</v>
      </c>
      <c r="B102">
        <f>Clean_Data!C100</f>
        <v>2023</v>
      </c>
      <c r="C102" s="19">
        <f>Clean_Data!D100</f>
        <v>54776.766823549093</v>
      </c>
      <c r="D102" s="19">
        <f>Clean_Data!E100</f>
        <v>5.9464366772582302</v>
      </c>
      <c r="E102" s="20">
        <f>Clean_Data!F100</f>
        <v>3.0710000000000002</v>
      </c>
      <c r="F102" s="21">
        <f>Clean_Data!G100</f>
        <v>83287273</v>
      </c>
    </row>
    <row r="103" spans="1:6" x14ac:dyDescent="0.3">
      <c r="A103" t="str">
        <f>Clean_Data!A101</f>
        <v>Germany</v>
      </c>
      <c r="B103">
        <f>Clean_Data!C101</f>
        <v>2024</v>
      </c>
      <c r="C103" s="19">
        <f>Clean_Data!D101</f>
        <v>56103.732318255446</v>
      </c>
      <c r="D103" s="19">
        <f>Clean_Data!E101</f>
        <v>2.2564981433876001</v>
      </c>
      <c r="E103" s="20">
        <f>Clean_Data!F101</f>
        <v>3.4</v>
      </c>
      <c r="F103" s="21">
        <f>Clean_Data!G101</f>
        <v>83516593</v>
      </c>
    </row>
    <row r="104" spans="1:6" x14ac:dyDescent="0.3">
      <c r="A104" t="str">
        <f>Clean_Data!A102</f>
        <v>India</v>
      </c>
      <c r="B104">
        <f>Clean_Data!C102</f>
        <v>2000</v>
      </c>
      <c r="C104" s="19">
        <f>Clean_Data!D102</f>
        <v>442.75021893726324</v>
      </c>
      <c r="D104" s="19">
        <f>Clean_Data!E102</f>
        <v>4.0094359104519004</v>
      </c>
      <c r="E104" s="20">
        <f>Clean_Data!F102</f>
        <v>7.5890000000000004</v>
      </c>
      <c r="F104" s="21">
        <f>Clean_Data!G102</f>
        <v>1057922733</v>
      </c>
    </row>
    <row r="105" spans="1:6" x14ac:dyDescent="0.3">
      <c r="A105" t="str">
        <f>Clean_Data!A103</f>
        <v>India</v>
      </c>
      <c r="B105">
        <f>Clean_Data!C103</f>
        <v>2001</v>
      </c>
      <c r="C105" s="19">
        <f>Clean_Data!D103</f>
        <v>450.35790051412818</v>
      </c>
      <c r="D105" s="19">
        <f>Clean_Data!E103</f>
        <v>3.7792931223563699</v>
      </c>
      <c r="E105" s="20">
        <f>Clean_Data!F103</f>
        <v>7.6109999999999998</v>
      </c>
      <c r="F105" s="21">
        <f>Clean_Data!G103</f>
        <v>1077898575</v>
      </c>
    </row>
    <row r="106" spans="1:6" x14ac:dyDescent="0.3">
      <c r="A106" t="str">
        <f>Clean_Data!A104</f>
        <v>India</v>
      </c>
      <c r="B106">
        <f>Clean_Data!C104</f>
        <v>2002</v>
      </c>
      <c r="C106" s="19">
        <f>Clean_Data!D104</f>
        <v>469.14992897392727</v>
      </c>
      <c r="D106" s="19">
        <f>Clean_Data!E104</f>
        <v>4.29715203929561</v>
      </c>
      <c r="E106" s="20">
        <f>Clean_Data!F104</f>
        <v>7.681</v>
      </c>
      <c r="F106" s="21">
        <f>Clean_Data!G104</f>
        <v>1097600380</v>
      </c>
    </row>
    <row r="107" spans="1:6" x14ac:dyDescent="0.3">
      <c r="A107" t="str">
        <f>Clean_Data!A105</f>
        <v>India</v>
      </c>
      <c r="B107">
        <f>Clean_Data!C105</f>
        <v>2003</v>
      </c>
      <c r="C107" s="19">
        <f>Clean_Data!D105</f>
        <v>544.14313354500223</v>
      </c>
      <c r="D107" s="19">
        <f>Clean_Data!E105</f>
        <v>3.8058589952885198</v>
      </c>
      <c r="E107" s="20">
        <f>Clean_Data!F105</f>
        <v>7.633</v>
      </c>
      <c r="F107" s="21">
        <f>Clean_Data!G105</f>
        <v>1116803006</v>
      </c>
    </row>
    <row r="108" spans="1:6" x14ac:dyDescent="0.3">
      <c r="A108" t="str">
        <f>Clean_Data!A106</f>
        <v>India</v>
      </c>
      <c r="B108">
        <f>Clean_Data!C106</f>
        <v>2004</v>
      </c>
      <c r="C108" s="19">
        <f>Clean_Data!D106</f>
        <v>624.25882651006611</v>
      </c>
      <c r="D108" s="19">
        <f>Clean_Data!E106</f>
        <v>3.7672517347751699</v>
      </c>
      <c r="E108" s="20">
        <f>Clean_Data!F106</f>
        <v>7.5979999999999999</v>
      </c>
      <c r="F108" s="21">
        <f>Clean_Data!G106</f>
        <v>1135991513</v>
      </c>
    </row>
    <row r="109" spans="1:6" x14ac:dyDescent="0.3">
      <c r="A109" t="str">
        <f>Clean_Data!A107</f>
        <v>India</v>
      </c>
      <c r="B109">
        <f>Clean_Data!C107</f>
        <v>2005</v>
      </c>
      <c r="C109" s="19">
        <f>Clean_Data!D107</f>
        <v>710.48808040894892</v>
      </c>
      <c r="D109" s="19">
        <f>Clean_Data!E107</f>
        <v>4.2463436203192302</v>
      </c>
      <c r="E109" s="20">
        <f>Clean_Data!F107</f>
        <v>7.5510000000000002</v>
      </c>
      <c r="F109" s="21">
        <f>Clean_Data!G107</f>
        <v>1154676322</v>
      </c>
    </row>
    <row r="110" spans="1:6" x14ac:dyDescent="0.3">
      <c r="A110" t="str">
        <f>Clean_Data!A108</f>
        <v>India</v>
      </c>
      <c r="B110">
        <f>Clean_Data!C108</f>
        <v>2006</v>
      </c>
      <c r="C110" s="19">
        <f>Clean_Data!D108</f>
        <v>801.66835365902227</v>
      </c>
      <c r="D110" s="19">
        <f>Clean_Data!E108</f>
        <v>5.7965233756163297</v>
      </c>
      <c r="E110" s="20">
        <f>Clean_Data!F108</f>
        <v>7.5529999999999999</v>
      </c>
      <c r="F110" s="21">
        <f>Clean_Data!G108</f>
        <v>1172878890</v>
      </c>
    </row>
    <row r="111" spans="1:6" x14ac:dyDescent="0.3">
      <c r="A111" t="str">
        <f>Clean_Data!A109</f>
        <v>India</v>
      </c>
      <c r="B111">
        <f>Clean_Data!C109</f>
        <v>2007</v>
      </c>
      <c r="C111" s="19">
        <f>Clean_Data!D109</f>
        <v>1021.8870770682593</v>
      </c>
      <c r="D111" s="19">
        <f>Clean_Data!E109</f>
        <v>6.3728813559323099</v>
      </c>
      <c r="E111" s="20">
        <f>Clean_Data!F109</f>
        <v>7.5620000000000003</v>
      </c>
      <c r="F111" s="21">
        <f>Clean_Data!G109</f>
        <v>1190676021</v>
      </c>
    </row>
    <row r="112" spans="1:6" x14ac:dyDescent="0.3">
      <c r="A112" t="str">
        <f>Clean_Data!A110</f>
        <v>India</v>
      </c>
      <c r="B112">
        <f>Clean_Data!C110</f>
        <v>2008</v>
      </c>
      <c r="C112" s="19">
        <f>Clean_Data!D110</f>
        <v>992.51958492382755</v>
      </c>
      <c r="D112" s="19">
        <f>Clean_Data!E110</f>
        <v>8.3492670490757401</v>
      </c>
      <c r="E112" s="20">
        <f>Clean_Data!F110</f>
        <v>7.6289999999999996</v>
      </c>
      <c r="F112" s="21">
        <f>Clean_Data!G110</f>
        <v>1207930964</v>
      </c>
    </row>
    <row r="113" spans="1:6" x14ac:dyDescent="0.3">
      <c r="A113" t="str">
        <f>Clean_Data!A111</f>
        <v>India</v>
      </c>
      <c r="B113">
        <f>Clean_Data!C111</f>
        <v>2009</v>
      </c>
      <c r="C113" s="19">
        <f>Clean_Data!D111</f>
        <v>1094.9497459843622</v>
      </c>
      <c r="D113" s="19">
        <f>Clean_Data!E111</f>
        <v>10.8823529411764</v>
      </c>
      <c r="E113" s="20">
        <f>Clean_Data!F111</f>
        <v>7.6360000000000001</v>
      </c>
      <c r="F113" s="21">
        <f>Clean_Data!G111</f>
        <v>1225524753</v>
      </c>
    </row>
    <row r="114" spans="1:6" x14ac:dyDescent="0.3">
      <c r="A114" t="str">
        <f>Clean_Data!A112</f>
        <v>India</v>
      </c>
      <c r="B114">
        <f>Clean_Data!C112</f>
        <v>2010</v>
      </c>
      <c r="C114" s="19">
        <f>Clean_Data!D112</f>
        <v>1347.5193907136679</v>
      </c>
      <c r="D114" s="19">
        <f>Clean_Data!E112</f>
        <v>11.989389920424401</v>
      </c>
      <c r="E114" s="20">
        <f>Clean_Data!F112</f>
        <v>7.6310000000000002</v>
      </c>
      <c r="F114" s="21">
        <f>Clean_Data!G112</f>
        <v>1243481564</v>
      </c>
    </row>
    <row r="115" spans="1:6" x14ac:dyDescent="0.3">
      <c r="A115" t="str">
        <f>Clean_Data!A113</f>
        <v>India</v>
      </c>
      <c r="B115">
        <f>Clean_Data!C113</f>
        <v>2011</v>
      </c>
      <c r="C115" s="19">
        <f>Clean_Data!D113</f>
        <v>1445.4612748603658</v>
      </c>
      <c r="D115" s="19">
        <f>Clean_Data!E113</f>
        <v>8.9117933648335992</v>
      </c>
      <c r="E115" s="20">
        <f>Clean_Data!F113</f>
        <v>7.609</v>
      </c>
      <c r="F115" s="21">
        <f>Clean_Data!G113</f>
        <v>1261224954</v>
      </c>
    </row>
    <row r="116" spans="1:6" x14ac:dyDescent="0.3">
      <c r="A116" t="str">
        <f>Clean_Data!A114</f>
        <v>India</v>
      </c>
      <c r="B116">
        <f>Clean_Data!C114</f>
        <v>2012</v>
      </c>
      <c r="C116" s="19">
        <f>Clean_Data!D114</f>
        <v>1429.321995200319</v>
      </c>
      <c r="D116" s="19">
        <f>Clean_Data!E114</f>
        <v>9.4789969141979196</v>
      </c>
      <c r="E116" s="20">
        <f>Clean_Data!F114</f>
        <v>7.6449999999999996</v>
      </c>
      <c r="F116" s="21">
        <f>Clean_Data!G114</f>
        <v>1278674502</v>
      </c>
    </row>
    <row r="117" spans="1:6" x14ac:dyDescent="0.3">
      <c r="A117" t="str">
        <f>Clean_Data!A115</f>
        <v>India</v>
      </c>
      <c r="B117">
        <f>Clean_Data!C115</f>
        <v>2013</v>
      </c>
      <c r="C117" s="19">
        <f>Clean_Data!D115</f>
        <v>1432.843975121953</v>
      </c>
      <c r="D117" s="19">
        <f>Clean_Data!E115</f>
        <v>10.0178784746104</v>
      </c>
      <c r="E117" s="20">
        <f>Clean_Data!F115</f>
        <v>7.6779999999999999</v>
      </c>
      <c r="F117" s="21">
        <f>Clean_Data!G115</f>
        <v>1295829511</v>
      </c>
    </row>
    <row r="118" spans="1:6" x14ac:dyDescent="0.3">
      <c r="A118" t="str">
        <f>Clean_Data!A116</f>
        <v>India</v>
      </c>
      <c r="B118">
        <f>Clean_Data!C116</f>
        <v>2014</v>
      </c>
      <c r="C118" s="19">
        <f>Clean_Data!D116</f>
        <v>1553.8839607511832</v>
      </c>
      <c r="D118" s="19">
        <f>Clean_Data!E116</f>
        <v>6.6656567186789903</v>
      </c>
      <c r="E118" s="20">
        <f>Clean_Data!F116</f>
        <v>7.6559999999999997</v>
      </c>
      <c r="F118" s="21">
        <f>Clean_Data!G116</f>
        <v>1312277191</v>
      </c>
    </row>
    <row r="119" spans="1:6" x14ac:dyDescent="0.3">
      <c r="A119" t="str">
        <f>Clean_Data!A117</f>
        <v>India</v>
      </c>
      <c r="B119">
        <f>Clean_Data!C117</f>
        <v>2015</v>
      </c>
      <c r="C119" s="19">
        <f>Clean_Data!D117</f>
        <v>1583.9981590798479</v>
      </c>
      <c r="D119" s="19">
        <f>Clean_Data!E117</f>
        <v>4.9069734412724904</v>
      </c>
      <c r="E119" s="20">
        <f>Clean_Data!F117</f>
        <v>7.6289999999999996</v>
      </c>
      <c r="F119" s="21">
        <f>Clean_Data!G117</f>
        <v>1328024498</v>
      </c>
    </row>
    <row r="120" spans="1:6" x14ac:dyDescent="0.3">
      <c r="A120" t="str">
        <f>Clean_Data!A118</f>
        <v>India</v>
      </c>
      <c r="B120">
        <f>Clean_Data!C118</f>
        <v>2016</v>
      </c>
      <c r="C120" s="19">
        <f>Clean_Data!D118</f>
        <v>1707.5089291224338</v>
      </c>
      <c r="D120" s="19">
        <f>Clean_Data!E118</f>
        <v>4.9482163406213404</v>
      </c>
      <c r="E120" s="20">
        <f>Clean_Data!F118</f>
        <v>7.6109999999999998</v>
      </c>
      <c r="F120" s="21">
        <f>Clean_Data!G118</f>
        <v>1343944296</v>
      </c>
    </row>
    <row r="121" spans="1:6" x14ac:dyDescent="0.3">
      <c r="A121" t="str">
        <f>Clean_Data!A119</f>
        <v>India</v>
      </c>
      <c r="B121">
        <f>Clean_Data!C119</f>
        <v>2017</v>
      </c>
      <c r="C121" s="19">
        <f>Clean_Data!D119</f>
        <v>1950.1046828086635</v>
      </c>
      <c r="D121" s="19">
        <f>Clean_Data!E119</f>
        <v>3.3281733746130402</v>
      </c>
      <c r="E121" s="20">
        <f>Clean_Data!F119</f>
        <v>7.6260000000000003</v>
      </c>
      <c r="F121" s="21">
        <f>Clean_Data!G119</f>
        <v>1359657400</v>
      </c>
    </row>
    <row r="122" spans="1:6" x14ac:dyDescent="0.3">
      <c r="A122" t="str">
        <f>Clean_Data!A120</f>
        <v>India</v>
      </c>
      <c r="B122">
        <f>Clean_Data!C120</f>
        <v>2018</v>
      </c>
      <c r="C122" s="19">
        <f>Clean_Data!D120</f>
        <v>1966.2545517167889</v>
      </c>
      <c r="D122" s="19">
        <f>Clean_Data!E120</f>
        <v>3.9388264669164199</v>
      </c>
      <c r="E122" s="20">
        <f>Clean_Data!F120</f>
        <v>7.6520000000000001</v>
      </c>
      <c r="F122" s="21">
        <f>Clean_Data!G120</f>
        <v>1374659064</v>
      </c>
    </row>
    <row r="123" spans="1:6" x14ac:dyDescent="0.3">
      <c r="A123" t="str">
        <f>Clean_Data!A121</f>
        <v>India</v>
      </c>
      <c r="B123">
        <f>Clean_Data!C121</f>
        <v>2019</v>
      </c>
      <c r="C123" s="19">
        <f>Clean_Data!D121</f>
        <v>2041.4286369858535</v>
      </c>
      <c r="D123" s="19">
        <f>Clean_Data!E121</f>
        <v>3.7295057353912302</v>
      </c>
      <c r="E123" s="20">
        <f>Clean_Data!F121</f>
        <v>6.51</v>
      </c>
      <c r="F123" s="21">
        <f>Clean_Data!G121</f>
        <v>1389030312</v>
      </c>
    </row>
    <row r="124" spans="1:6" x14ac:dyDescent="0.3">
      <c r="A124" t="str">
        <f>Clean_Data!A122</f>
        <v>India</v>
      </c>
      <c r="B124">
        <f>Clean_Data!C122</f>
        <v>2020</v>
      </c>
      <c r="C124" s="19">
        <f>Clean_Data!D122</f>
        <v>1907.042516376687</v>
      </c>
      <c r="D124" s="19">
        <f>Clean_Data!E122</f>
        <v>6.6234367762852902</v>
      </c>
      <c r="E124" s="20">
        <f>Clean_Data!F122</f>
        <v>7.859</v>
      </c>
      <c r="F124" s="21">
        <f>Clean_Data!G122</f>
        <v>1402617695</v>
      </c>
    </row>
    <row r="125" spans="1:6" x14ac:dyDescent="0.3">
      <c r="A125" t="str">
        <f>Clean_Data!A123</f>
        <v>India</v>
      </c>
      <c r="B125">
        <f>Clean_Data!C123</f>
        <v>2021</v>
      </c>
      <c r="C125" s="19">
        <f>Clean_Data!D123</f>
        <v>2239.6138436748224</v>
      </c>
      <c r="D125" s="19">
        <f>Clean_Data!E123</f>
        <v>5.1314074717636302</v>
      </c>
      <c r="E125" s="20">
        <f>Clean_Data!F123</f>
        <v>6.38</v>
      </c>
      <c r="F125" s="21">
        <f>Clean_Data!G123</f>
        <v>1414203896</v>
      </c>
    </row>
    <row r="126" spans="1:6" x14ac:dyDescent="0.3">
      <c r="A126" t="str">
        <f>Clean_Data!A124</f>
        <v>India</v>
      </c>
      <c r="B126">
        <f>Clean_Data!C124</f>
        <v>2022</v>
      </c>
      <c r="C126" s="19">
        <f>Clean_Data!D124</f>
        <v>2279.9814571936909</v>
      </c>
      <c r="D126" s="19">
        <f>Clean_Data!E124</f>
        <v>6.6990341407985703</v>
      </c>
      <c r="E126" s="20">
        <f>Clean_Data!F124</f>
        <v>4.8220000000000001</v>
      </c>
      <c r="F126" s="21">
        <f>Clean_Data!G124</f>
        <v>1425423212</v>
      </c>
    </row>
    <row r="127" spans="1:6" x14ac:dyDescent="0.3">
      <c r="A127" t="str">
        <f>Clean_Data!A125</f>
        <v>India</v>
      </c>
      <c r="B127">
        <f>Clean_Data!C125</f>
        <v>2023</v>
      </c>
      <c r="C127" s="19">
        <f>Clean_Data!D125</f>
        <v>2434.4482634098913</v>
      </c>
      <c r="D127" s="19">
        <f>Clean_Data!E125</f>
        <v>5.6491431890792496</v>
      </c>
      <c r="E127" s="20">
        <f>Clean_Data!F125</f>
        <v>4.1719999999999997</v>
      </c>
      <c r="F127" s="21">
        <f>Clean_Data!G125</f>
        <v>1438069596</v>
      </c>
    </row>
    <row r="128" spans="1:6" x14ac:dyDescent="0.3">
      <c r="A128" t="str">
        <f>Clean_Data!A126</f>
        <v>India</v>
      </c>
      <c r="B128">
        <f>Clean_Data!C126</f>
        <v>2024</v>
      </c>
      <c r="C128" s="19">
        <f>Clean_Data!D126</f>
        <v>2591.9916607121977</v>
      </c>
      <c r="D128" s="19">
        <f>Clean_Data!E126</f>
        <v>4.9530355097366003</v>
      </c>
      <c r="E128" s="20">
        <f>Clean_Data!F126</f>
        <v>4.173</v>
      </c>
      <c r="F128" s="21">
        <f>Clean_Data!G126</f>
        <v>1450935791</v>
      </c>
    </row>
    <row r="129" spans="1:6" x14ac:dyDescent="0.3">
      <c r="A129" t="str">
        <f>Clean_Data!A127</f>
        <v>Indonesia</v>
      </c>
      <c r="B129">
        <f>Clean_Data!C127</f>
        <v>2000</v>
      </c>
      <c r="C129" s="19">
        <f>Clean_Data!D127</f>
        <v>763.7111249509245</v>
      </c>
      <c r="D129" s="19">
        <f>Clean_Data!E127</f>
        <v>3.6886203705668099</v>
      </c>
      <c r="E129" s="20">
        <f>Clean_Data!F127</f>
        <v>6.077</v>
      </c>
      <c r="F129" s="21">
        <f>Clean_Data!G127</f>
        <v>216077790</v>
      </c>
    </row>
    <row r="130" spans="1:6" x14ac:dyDescent="0.3">
      <c r="A130" t="str">
        <f>Clean_Data!A128</f>
        <v>Indonesia</v>
      </c>
      <c r="B130">
        <f>Clean_Data!C128</f>
        <v>2001</v>
      </c>
      <c r="C130" s="19">
        <f>Clean_Data!D128</f>
        <v>732.30709340570763</v>
      </c>
      <c r="D130" s="19">
        <f>Clean_Data!E128</f>
        <v>11.5001160550887</v>
      </c>
      <c r="E130" s="20">
        <f>Clean_Data!F128</f>
        <v>6.0819999999999999</v>
      </c>
      <c r="F130" s="21">
        <f>Clean_Data!G128</f>
        <v>219097902</v>
      </c>
    </row>
    <row r="131" spans="1:6" x14ac:dyDescent="0.3">
      <c r="A131" t="str">
        <f>Clean_Data!A129</f>
        <v>Indonesia</v>
      </c>
      <c r="B131">
        <f>Clean_Data!C129</f>
        <v>2002</v>
      </c>
      <c r="C131" s="19">
        <f>Clean_Data!D129</f>
        <v>881.00291356913124</v>
      </c>
      <c r="D131" s="19">
        <f>Clean_Data!E129</f>
        <v>11.900120033841301</v>
      </c>
      <c r="E131" s="20">
        <f>Clean_Data!F129</f>
        <v>6.6040000000000001</v>
      </c>
      <c r="F131" s="21">
        <f>Clean_Data!G129</f>
        <v>222088495</v>
      </c>
    </row>
    <row r="132" spans="1:6" x14ac:dyDescent="0.3">
      <c r="A132" t="str">
        <f>Clean_Data!A130</f>
        <v>Indonesia</v>
      </c>
      <c r="B132">
        <f>Clean_Data!C130</f>
        <v>2003</v>
      </c>
      <c r="C132" s="19">
        <f>Clean_Data!D130</f>
        <v>1043.2105838671025</v>
      </c>
      <c r="D132" s="19">
        <f>Clean_Data!E130</f>
        <v>6.7573125633356401</v>
      </c>
      <c r="E132" s="20">
        <f>Clean_Data!F130</f>
        <v>6.657</v>
      </c>
      <c r="F132" s="21">
        <f>Clean_Data!G130</f>
        <v>225048008</v>
      </c>
    </row>
    <row r="133" spans="1:6" x14ac:dyDescent="0.3">
      <c r="A133" t="str">
        <f>Clean_Data!A131</f>
        <v>Indonesia</v>
      </c>
      <c r="B133">
        <f>Clean_Data!C131</f>
        <v>2004</v>
      </c>
      <c r="C133" s="19">
        <f>Clean_Data!D131</f>
        <v>1126.8400444717279</v>
      </c>
      <c r="D133" s="19">
        <f>Clean_Data!E131</f>
        <v>6.0640618913364701</v>
      </c>
      <c r="E133" s="20">
        <f>Clean_Data!F131</f>
        <v>7.3029999999999999</v>
      </c>
      <c r="F133" s="21">
        <f>Clean_Data!G131</f>
        <v>227926649</v>
      </c>
    </row>
    <row r="134" spans="1:6" x14ac:dyDescent="0.3">
      <c r="A134" t="str">
        <f>Clean_Data!A132</f>
        <v>Indonesia</v>
      </c>
      <c r="B134">
        <f>Clean_Data!C132</f>
        <v>2005</v>
      </c>
      <c r="C134" s="19">
        <f>Clean_Data!D132</f>
        <v>1238.2144762948797</v>
      </c>
      <c r="D134" s="19">
        <f>Clean_Data!E132</f>
        <v>10.4532001873347</v>
      </c>
      <c r="E134" s="20">
        <f>Clean_Data!F132</f>
        <v>7.9450000000000003</v>
      </c>
      <c r="F134" s="21">
        <f>Clean_Data!G132</f>
        <v>230871650</v>
      </c>
    </row>
    <row r="135" spans="1:6" x14ac:dyDescent="0.3">
      <c r="A135" t="str">
        <f>Clean_Data!A133</f>
        <v>Indonesia</v>
      </c>
      <c r="B135">
        <f>Clean_Data!C133</f>
        <v>2006</v>
      </c>
      <c r="C135" s="19">
        <f>Clean_Data!D133</f>
        <v>1558.3156284716338</v>
      </c>
      <c r="D135" s="19">
        <f>Clean_Data!E133</f>
        <v>13.108670985345899</v>
      </c>
      <c r="E135" s="20">
        <f>Clean_Data!F133</f>
        <v>7.5510000000000002</v>
      </c>
      <c r="F135" s="21">
        <f>Clean_Data!G133</f>
        <v>233951652</v>
      </c>
    </row>
    <row r="136" spans="1:6" x14ac:dyDescent="0.3">
      <c r="A136" t="str">
        <f>Clean_Data!A134</f>
        <v>Indonesia</v>
      </c>
      <c r="B136">
        <f>Clean_Data!C134</f>
        <v>2007</v>
      </c>
      <c r="C136" s="19">
        <f>Clean_Data!D134</f>
        <v>1823.2197625507274</v>
      </c>
      <c r="D136" s="19">
        <f>Clean_Data!E134</f>
        <v>6.4065608796600397</v>
      </c>
      <c r="E136" s="20">
        <f>Clean_Data!F134</f>
        <v>8.06</v>
      </c>
      <c r="F136" s="21">
        <f>Clean_Data!G134</f>
        <v>237062337</v>
      </c>
    </row>
    <row r="137" spans="1:6" x14ac:dyDescent="0.3">
      <c r="A137" t="str">
        <f>Clean_Data!A135</f>
        <v>Indonesia</v>
      </c>
      <c r="B137">
        <f>Clean_Data!C135</f>
        <v>2008</v>
      </c>
      <c r="C137" s="19">
        <f>Clean_Data!D135</f>
        <v>2124.5548392061796</v>
      </c>
      <c r="D137" s="19">
        <f>Clean_Data!E135</f>
        <v>10.2266663272482</v>
      </c>
      <c r="E137" s="20">
        <f>Clean_Data!F135</f>
        <v>7.2080000000000002</v>
      </c>
      <c r="F137" s="21">
        <f>Clean_Data!G135</f>
        <v>240157903</v>
      </c>
    </row>
    <row r="138" spans="1:6" x14ac:dyDescent="0.3">
      <c r="A138" t="str">
        <f>Clean_Data!A136</f>
        <v>Indonesia</v>
      </c>
      <c r="B138">
        <f>Clean_Data!C136</f>
        <v>2009</v>
      </c>
      <c r="C138" s="19">
        <f>Clean_Data!D136</f>
        <v>2218.4854185297663</v>
      </c>
      <c r="D138" s="19">
        <f>Clean_Data!E136</f>
        <v>4.3864131179207302</v>
      </c>
      <c r="E138" s="20">
        <f>Clean_Data!F136</f>
        <v>6.1059999999999999</v>
      </c>
      <c r="F138" s="21">
        <f>Clean_Data!G136</f>
        <v>243220028</v>
      </c>
    </row>
    <row r="139" spans="1:6" x14ac:dyDescent="0.3">
      <c r="A139" t="str">
        <f>Clean_Data!A137</f>
        <v>Indonesia</v>
      </c>
      <c r="B139">
        <f>Clean_Data!C137</f>
        <v>2010</v>
      </c>
      <c r="C139" s="19">
        <f>Clean_Data!D137</f>
        <v>3065.6834837776487</v>
      </c>
      <c r="D139" s="19">
        <f>Clean_Data!E137</f>
        <v>5.1342063901588499</v>
      </c>
      <c r="E139" s="20">
        <f>Clean_Data!F137</f>
        <v>5.6139999999999999</v>
      </c>
      <c r="F139" s="21">
        <f>Clean_Data!G137</f>
        <v>246305322</v>
      </c>
    </row>
    <row r="140" spans="1:6" x14ac:dyDescent="0.3">
      <c r="A140" t="str">
        <f>Clean_Data!A138</f>
        <v>Indonesia</v>
      </c>
      <c r="B140">
        <f>Clean_Data!C138</f>
        <v>2011</v>
      </c>
      <c r="C140" s="19">
        <f>Clean_Data!D138</f>
        <v>3579.4644246615212</v>
      </c>
      <c r="D140" s="19">
        <f>Clean_Data!E138</f>
        <v>5.3560484911258204</v>
      </c>
      <c r="E140" s="20">
        <f>Clean_Data!F138</f>
        <v>5.1529999999999996</v>
      </c>
      <c r="F140" s="21">
        <f>Clean_Data!G138</f>
        <v>249470032</v>
      </c>
    </row>
    <row r="141" spans="1:6" x14ac:dyDescent="0.3">
      <c r="A141" t="str">
        <f>Clean_Data!A139</f>
        <v>Indonesia</v>
      </c>
      <c r="B141">
        <f>Clean_Data!C139</f>
        <v>2012</v>
      </c>
      <c r="C141" s="19">
        <f>Clean_Data!D139</f>
        <v>3632.2725403033064</v>
      </c>
      <c r="D141" s="19">
        <f>Clean_Data!E139</f>
        <v>4.2795142691942996</v>
      </c>
      <c r="E141" s="20">
        <f>Clean_Data!F139</f>
        <v>4.468</v>
      </c>
      <c r="F141" s="21">
        <f>Clean_Data!G139</f>
        <v>252698525</v>
      </c>
    </row>
    <row r="142" spans="1:6" x14ac:dyDescent="0.3">
      <c r="A142" t="str">
        <f>Clean_Data!A140</f>
        <v>Indonesia</v>
      </c>
      <c r="B142">
        <f>Clean_Data!C140</f>
        <v>2013</v>
      </c>
      <c r="C142" s="19">
        <f>Clean_Data!D140</f>
        <v>3566.6028450607755</v>
      </c>
      <c r="D142" s="19">
        <f>Clean_Data!E140</f>
        <v>6.4124945790039103</v>
      </c>
      <c r="E142" s="20">
        <f>Clean_Data!F140</f>
        <v>4.3360000000000003</v>
      </c>
      <c r="F142" s="21">
        <f>Clean_Data!G140</f>
        <v>255852467</v>
      </c>
    </row>
    <row r="143" spans="1:6" x14ac:dyDescent="0.3">
      <c r="A143" t="str">
        <f>Clean_Data!A141</f>
        <v>Indonesia</v>
      </c>
      <c r="B143">
        <f>Clean_Data!C141</f>
        <v>2014</v>
      </c>
      <c r="C143" s="19">
        <f>Clean_Data!D141</f>
        <v>3441.0680846400842</v>
      </c>
      <c r="D143" s="19">
        <f>Clean_Data!E141</f>
        <v>6.3949288239655901</v>
      </c>
      <c r="E143" s="20">
        <f>Clean_Data!F141</f>
        <v>4.0490000000000004</v>
      </c>
      <c r="F143" s="21">
        <f>Clean_Data!G141</f>
        <v>258877399</v>
      </c>
    </row>
    <row r="144" spans="1:6" x14ac:dyDescent="0.3">
      <c r="A144" t="str">
        <f>Clean_Data!A142</f>
        <v>Indonesia</v>
      </c>
      <c r="B144">
        <f>Clean_Data!C142</f>
        <v>2015</v>
      </c>
      <c r="C144" s="19">
        <f>Clean_Data!D142</f>
        <v>3288.222697255384</v>
      </c>
      <c r="D144" s="19">
        <f>Clean_Data!E142</f>
        <v>6.3631206119664601</v>
      </c>
      <c r="E144" s="20">
        <f>Clean_Data!F142</f>
        <v>4.5140000000000002</v>
      </c>
      <c r="F144" s="21">
        <f>Clean_Data!G142</f>
        <v>261799249</v>
      </c>
    </row>
    <row r="145" spans="1:6" x14ac:dyDescent="0.3">
      <c r="A145" t="str">
        <f>Clean_Data!A143</f>
        <v>Indonesia</v>
      </c>
      <c r="B145">
        <f>Clean_Data!C143</f>
        <v>2016</v>
      </c>
      <c r="C145" s="19">
        <f>Clean_Data!D143</f>
        <v>3521.469434575738</v>
      </c>
      <c r="D145" s="19">
        <f>Clean_Data!E143</f>
        <v>3.5258045281545098</v>
      </c>
      <c r="E145" s="20">
        <f>Clean_Data!F143</f>
        <v>4.3010000000000002</v>
      </c>
      <c r="F145" s="21">
        <f>Clean_Data!G143</f>
        <v>264627418</v>
      </c>
    </row>
    <row r="146" spans="1:6" x14ac:dyDescent="0.3">
      <c r="A146" t="str">
        <f>Clean_Data!A144</f>
        <v>Indonesia</v>
      </c>
      <c r="B146">
        <f>Clean_Data!C144</f>
        <v>2017</v>
      </c>
      <c r="C146" s="19">
        <f>Clean_Data!D144</f>
        <v>3798.8832617452576</v>
      </c>
      <c r="D146" s="19">
        <f>Clean_Data!E144</f>
        <v>3.8087985769194801</v>
      </c>
      <c r="E146" s="20">
        <f>Clean_Data!F144</f>
        <v>3.7829999999999999</v>
      </c>
      <c r="F146" s="21">
        <f>Clean_Data!G144</f>
        <v>267346658</v>
      </c>
    </row>
    <row r="147" spans="1:6" x14ac:dyDescent="0.3">
      <c r="A147" t="str">
        <f>Clean_Data!A145</f>
        <v>Indonesia</v>
      </c>
      <c r="B147">
        <f>Clean_Data!C145</f>
        <v>2018</v>
      </c>
      <c r="C147" s="19">
        <f>Clean_Data!D145</f>
        <v>3860.9535309072558</v>
      </c>
      <c r="D147" s="19">
        <f>Clean_Data!E145</f>
        <v>3.1983475592499602</v>
      </c>
      <c r="E147" s="20">
        <f>Clean_Data!F145</f>
        <v>4.3869999999999996</v>
      </c>
      <c r="F147" s="21">
        <f>Clean_Data!G145</f>
        <v>269951846</v>
      </c>
    </row>
    <row r="148" spans="1:6" x14ac:dyDescent="0.3">
      <c r="A148" t="str">
        <f>Clean_Data!A146</f>
        <v>Indonesia</v>
      </c>
      <c r="B148">
        <f>Clean_Data!C146</f>
        <v>2019</v>
      </c>
      <c r="C148" s="19">
        <f>Clean_Data!D146</f>
        <v>4106.9485616035772</v>
      </c>
      <c r="D148" s="19">
        <f>Clean_Data!E146</f>
        <v>3.0305846094166</v>
      </c>
      <c r="E148" s="20">
        <f>Clean_Data!F146</f>
        <v>3.59</v>
      </c>
      <c r="F148" s="21">
        <f>Clean_Data!G146</f>
        <v>272489381</v>
      </c>
    </row>
    <row r="149" spans="1:6" x14ac:dyDescent="0.3">
      <c r="A149" t="str">
        <f>Clean_Data!A147</f>
        <v>Indonesia</v>
      </c>
      <c r="B149">
        <f>Clean_Data!C147</f>
        <v>2020</v>
      </c>
      <c r="C149" s="19">
        <f>Clean_Data!D147</f>
        <v>3853.7028877414587</v>
      </c>
      <c r="D149" s="19">
        <f>Clean_Data!E147</f>
        <v>1.91983527270792</v>
      </c>
      <c r="E149" s="20">
        <f>Clean_Data!F147</f>
        <v>4.2549999999999999</v>
      </c>
      <c r="F149" s="21">
        <f>Clean_Data!G147</f>
        <v>274814866</v>
      </c>
    </row>
    <row r="150" spans="1:6" x14ac:dyDescent="0.3">
      <c r="A150" t="str">
        <f>Clean_Data!A148</f>
        <v>Indonesia</v>
      </c>
      <c r="B150">
        <f>Clean_Data!C148</f>
        <v>2021</v>
      </c>
      <c r="C150" s="19">
        <f>Clean_Data!D148</f>
        <v>4287.1731399509836</v>
      </c>
      <c r="D150" s="19">
        <f>Clean_Data!E148</f>
        <v>1.5600788298333399</v>
      </c>
      <c r="E150" s="20">
        <f>Clean_Data!F148</f>
        <v>3.827</v>
      </c>
      <c r="F150" s="21">
        <f>Clean_Data!G148</f>
        <v>276758053</v>
      </c>
    </row>
    <row r="151" spans="1:6" x14ac:dyDescent="0.3">
      <c r="A151" t="str">
        <f>Clean_Data!A149</f>
        <v>Indonesia</v>
      </c>
      <c r="B151">
        <f>Clean_Data!C149</f>
        <v>2022</v>
      </c>
      <c r="C151" s="19">
        <f>Clean_Data!D149</f>
        <v>4730.8348483610689</v>
      </c>
      <c r="D151" s="19">
        <f>Clean_Data!E149</f>
        <v>4.2094646371478399</v>
      </c>
      <c r="E151" s="20">
        <f>Clean_Data!F149</f>
        <v>3.4620000000000002</v>
      </c>
      <c r="F151" s="21">
        <f>Clean_Data!G149</f>
        <v>278830529</v>
      </c>
    </row>
    <row r="152" spans="1:6" x14ac:dyDescent="0.3">
      <c r="A152" t="str">
        <f>Clean_Data!A150</f>
        <v>Indonesia</v>
      </c>
      <c r="B152">
        <f>Clean_Data!C150</f>
        <v>2023</v>
      </c>
      <c r="C152" s="19">
        <f>Clean_Data!D150</f>
        <v>4876.2992959842977</v>
      </c>
      <c r="D152" s="19">
        <f>Clean_Data!E150</f>
        <v>3.6693865485976098</v>
      </c>
      <c r="E152" s="20">
        <f>Clean_Data!F150</f>
        <v>3.3079999999999998</v>
      </c>
      <c r="F152" s="21">
        <f>Clean_Data!G150</f>
        <v>281190067</v>
      </c>
    </row>
    <row r="153" spans="1:6" x14ac:dyDescent="0.3">
      <c r="A153" t="str">
        <f>Clean_Data!A151</f>
        <v>Indonesia</v>
      </c>
      <c r="B153">
        <f>Clean_Data!C151</f>
        <v>2024</v>
      </c>
      <c r="C153" s="19">
        <f>Clean_Data!D151</f>
        <v>4925.4364499266594</v>
      </c>
      <c r="D153" s="19">
        <f>Clean_Data!E151</f>
        <v>2.18151273615188</v>
      </c>
      <c r="E153" s="20">
        <f>Clean_Data!F151</f>
        <v>3.3010000000000002</v>
      </c>
      <c r="F153" s="21">
        <f>Clean_Data!G151</f>
        <v>283487931</v>
      </c>
    </row>
    <row r="154" spans="1:6" x14ac:dyDescent="0.3">
      <c r="A154" t="str">
        <f>Clean_Data!A152</f>
        <v>Ireland</v>
      </c>
      <c r="B154">
        <f>Clean_Data!C152</f>
        <v>2000</v>
      </c>
      <c r="C154" s="19">
        <f>Clean_Data!D152</f>
        <v>26334.567205050083</v>
      </c>
      <c r="D154" s="19">
        <f>Clean_Data!E152</f>
        <v>5.5634402497870701</v>
      </c>
      <c r="E154" s="20">
        <f>Clean_Data!F152</f>
        <v>4.3179999999999996</v>
      </c>
      <c r="F154" s="21">
        <f>Clean_Data!G152</f>
        <v>3805174</v>
      </c>
    </row>
    <row r="155" spans="1:6" x14ac:dyDescent="0.3">
      <c r="A155" t="str">
        <f>Clean_Data!A153</f>
        <v>Ireland</v>
      </c>
      <c r="B155">
        <f>Clean_Data!C153</f>
        <v>2001</v>
      </c>
      <c r="C155" s="19">
        <f>Clean_Data!D153</f>
        <v>28282.40988207296</v>
      </c>
      <c r="D155" s="19">
        <f>Clean_Data!E153</f>
        <v>4.8668997042215798</v>
      </c>
      <c r="E155" s="20">
        <f>Clean_Data!F153</f>
        <v>3.6840000000000002</v>
      </c>
      <c r="F155" s="21">
        <f>Clean_Data!G153</f>
        <v>3866243</v>
      </c>
    </row>
    <row r="156" spans="1:6" x14ac:dyDescent="0.3">
      <c r="A156" t="str">
        <f>Clean_Data!A154</f>
        <v>Ireland</v>
      </c>
      <c r="B156">
        <f>Clean_Data!C154</f>
        <v>2002</v>
      </c>
      <c r="C156" s="19">
        <f>Clean_Data!D154</f>
        <v>32705.434556569817</v>
      </c>
      <c r="D156" s="19">
        <f>Clean_Data!E154</f>
        <v>4.62820512820515</v>
      </c>
      <c r="E156" s="20">
        <f>Clean_Data!F154</f>
        <v>4.2160000000000002</v>
      </c>
      <c r="F156" s="21">
        <f>Clean_Data!G154</f>
        <v>3931947</v>
      </c>
    </row>
    <row r="157" spans="1:6" x14ac:dyDescent="0.3">
      <c r="A157" t="str">
        <f>Clean_Data!A155</f>
        <v>Ireland</v>
      </c>
      <c r="B157">
        <f>Clean_Data!C155</f>
        <v>2003</v>
      </c>
      <c r="C157" s="19">
        <f>Clean_Data!D155</f>
        <v>41203.529584756849</v>
      </c>
      <c r="D157" s="19">
        <f>Clean_Data!E155</f>
        <v>3.4922190907976498</v>
      </c>
      <c r="E157" s="20">
        <f>Clean_Data!F155</f>
        <v>4.4779999999999998</v>
      </c>
      <c r="F157" s="21">
        <f>Clean_Data!G155</f>
        <v>3996521</v>
      </c>
    </row>
    <row r="158" spans="1:6" x14ac:dyDescent="0.3">
      <c r="A158" t="str">
        <f>Clean_Data!A156</f>
        <v>Ireland</v>
      </c>
      <c r="B158">
        <f>Clean_Data!C156</f>
        <v>2004</v>
      </c>
      <c r="C158" s="19">
        <f>Clean_Data!D156</f>
        <v>47754.202319424396</v>
      </c>
      <c r="D158" s="19">
        <f>Clean_Data!E156</f>
        <v>2.17854605730522</v>
      </c>
      <c r="E158" s="20">
        <f>Clean_Data!F156</f>
        <v>4.4909999999999997</v>
      </c>
      <c r="F158" s="21">
        <f>Clean_Data!G156</f>
        <v>4070262</v>
      </c>
    </row>
    <row r="159" spans="1:6" x14ac:dyDescent="0.3">
      <c r="A159" t="str">
        <f>Clean_Data!A157</f>
        <v>Ireland</v>
      </c>
      <c r="B159">
        <f>Clean_Data!C157</f>
        <v>2005</v>
      </c>
      <c r="C159" s="19">
        <f>Clean_Data!D157</f>
        <v>50933.021609558884</v>
      </c>
      <c r="D159" s="19">
        <f>Clean_Data!E157</f>
        <v>2.4565469293163802</v>
      </c>
      <c r="E159" s="20">
        <f>Clean_Data!F157</f>
        <v>4.2370000000000001</v>
      </c>
      <c r="F159" s="21">
        <f>Clean_Data!G157</f>
        <v>4159914</v>
      </c>
    </row>
    <row r="160" spans="1:6" x14ac:dyDescent="0.3">
      <c r="A160" t="str">
        <f>Clean_Data!A158</f>
        <v>Ireland</v>
      </c>
      <c r="B160">
        <f>Clean_Data!C158</f>
        <v>2006</v>
      </c>
      <c r="C160" s="19">
        <f>Clean_Data!D158</f>
        <v>54329.161859962383</v>
      </c>
      <c r="D160" s="19">
        <f>Clean_Data!E158</f>
        <v>3.9357611400135299</v>
      </c>
      <c r="E160" s="20">
        <f>Clean_Data!F158</f>
        <v>4.3550000000000004</v>
      </c>
      <c r="F160" s="21">
        <f>Clean_Data!G158</f>
        <v>4273591</v>
      </c>
    </row>
    <row r="161" spans="1:6" x14ac:dyDescent="0.3">
      <c r="A161" t="str">
        <f>Clean_Data!A159</f>
        <v>Ireland</v>
      </c>
      <c r="B161">
        <f>Clean_Data!C159</f>
        <v>2007</v>
      </c>
      <c r="C161" s="19">
        <f>Clean_Data!D159</f>
        <v>61396.417461175995</v>
      </c>
      <c r="D161" s="19">
        <f>Clean_Data!E159</f>
        <v>4.8857453754080096</v>
      </c>
      <c r="E161" s="20">
        <f>Clean_Data!F159</f>
        <v>4.9800000000000004</v>
      </c>
      <c r="F161" s="21">
        <f>Clean_Data!G159</f>
        <v>4398942</v>
      </c>
    </row>
    <row r="162" spans="1:6" x14ac:dyDescent="0.3">
      <c r="A162" t="str">
        <f>Clean_Data!A160</f>
        <v>Ireland</v>
      </c>
      <c r="B162">
        <f>Clean_Data!C160</f>
        <v>2008</v>
      </c>
      <c r="C162" s="19">
        <f>Clean_Data!D160</f>
        <v>61353.106562952322</v>
      </c>
      <c r="D162" s="19">
        <f>Clean_Data!E160</f>
        <v>4.0356883494139097</v>
      </c>
      <c r="E162" s="20">
        <f>Clean_Data!F160</f>
        <v>6.774</v>
      </c>
      <c r="F162" s="21">
        <f>Clean_Data!G160</f>
        <v>4489544</v>
      </c>
    </row>
    <row r="163" spans="1:6" x14ac:dyDescent="0.3">
      <c r="A163" t="str">
        <f>Clean_Data!A161</f>
        <v>Ireland</v>
      </c>
      <c r="B163">
        <f>Clean_Data!C161</f>
        <v>2009</v>
      </c>
      <c r="C163" s="19">
        <f>Clean_Data!D161</f>
        <v>52133.090616254391</v>
      </c>
      <c r="D163" s="19">
        <f>Clean_Data!E161</f>
        <v>-4.4475468687674597</v>
      </c>
      <c r="E163" s="20">
        <f>Clean_Data!F161</f>
        <v>12.609</v>
      </c>
      <c r="F163" s="21">
        <f>Clean_Data!G161</f>
        <v>4535375</v>
      </c>
    </row>
    <row r="164" spans="1:6" x14ac:dyDescent="0.3">
      <c r="A164" t="str">
        <f>Clean_Data!A162</f>
        <v>Ireland</v>
      </c>
      <c r="B164">
        <f>Clean_Data!C162</f>
        <v>2010</v>
      </c>
      <c r="C164" s="19">
        <f>Clean_Data!D162</f>
        <v>48623.966642248728</v>
      </c>
      <c r="D164" s="19">
        <f>Clean_Data!E162</f>
        <v>-0.91838864537677301</v>
      </c>
      <c r="E164" s="20">
        <f>Clean_Data!F162</f>
        <v>14.534000000000001</v>
      </c>
      <c r="F164" s="21">
        <f>Clean_Data!G162</f>
        <v>4560155</v>
      </c>
    </row>
    <row r="165" spans="1:6" x14ac:dyDescent="0.3">
      <c r="A165" t="str">
        <f>Clean_Data!A163</f>
        <v>Ireland</v>
      </c>
      <c r="B165">
        <f>Clean_Data!C163</f>
        <v>2011</v>
      </c>
      <c r="C165" s="19">
        <f>Clean_Data!D163</f>
        <v>52613.854035568875</v>
      </c>
      <c r="D165" s="19">
        <f>Clean_Data!E163</f>
        <v>2.5489783020855001</v>
      </c>
      <c r="E165" s="20">
        <f>Clean_Data!F163</f>
        <v>15.353999999999999</v>
      </c>
      <c r="F165" s="21">
        <f>Clean_Data!G163</f>
        <v>4580084</v>
      </c>
    </row>
    <row r="166" spans="1:6" x14ac:dyDescent="0.3">
      <c r="A166" t="str">
        <f>Clean_Data!A164</f>
        <v>Ireland</v>
      </c>
      <c r="B166">
        <f>Clean_Data!C164</f>
        <v>2012</v>
      </c>
      <c r="C166" s="19">
        <f>Clean_Data!D164</f>
        <v>49335.840809955524</v>
      </c>
      <c r="D166" s="19">
        <f>Clean_Data!E164</f>
        <v>1.69474116680366</v>
      </c>
      <c r="E166" s="20">
        <f>Clean_Data!F164</f>
        <v>15.451000000000001</v>
      </c>
      <c r="F166" s="21">
        <f>Clean_Data!G164</f>
        <v>4599533</v>
      </c>
    </row>
    <row r="167" spans="1:6" x14ac:dyDescent="0.3">
      <c r="A167" t="str">
        <f>Clean_Data!A165</f>
        <v>Ireland</v>
      </c>
      <c r="B167">
        <f>Clean_Data!C165</f>
        <v>2013</v>
      </c>
      <c r="C167" s="19">
        <f>Clean_Data!D165</f>
        <v>52537.610864869188</v>
      </c>
      <c r="D167" s="19">
        <f>Clean_Data!E165</f>
        <v>0.515099484900573</v>
      </c>
      <c r="E167" s="20">
        <f>Clean_Data!F165</f>
        <v>13.734999999999999</v>
      </c>
      <c r="F167" s="21">
        <f>Clean_Data!G165</f>
        <v>4623816</v>
      </c>
    </row>
    <row r="168" spans="1:6" x14ac:dyDescent="0.3">
      <c r="A168" t="str">
        <f>Clean_Data!A166</f>
        <v>Ireland</v>
      </c>
      <c r="B168">
        <f>Clean_Data!C166</f>
        <v>2014</v>
      </c>
      <c r="C168" s="19">
        <f>Clean_Data!D166</f>
        <v>57214.537978570908</v>
      </c>
      <c r="D168" s="19">
        <f>Clean_Data!E166</f>
        <v>0.190916398713744</v>
      </c>
      <c r="E168" s="20">
        <f>Clean_Data!F166</f>
        <v>11.858000000000001</v>
      </c>
      <c r="F168" s="21">
        <f>Clean_Data!G166</f>
        <v>4657740</v>
      </c>
    </row>
    <row r="169" spans="1:6" x14ac:dyDescent="0.3">
      <c r="A169" t="str">
        <f>Clean_Data!A167</f>
        <v>Ireland</v>
      </c>
      <c r="B169">
        <f>Clean_Data!C167</f>
        <v>2015</v>
      </c>
      <c r="C169" s="19">
        <f>Clean_Data!D167</f>
        <v>64250.138518125656</v>
      </c>
      <c r="D169" s="19">
        <f>Clean_Data!E167</f>
        <v>-0.330959783371787</v>
      </c>
      <c r="E169" s="20">
        <f>Clean_Data!F167</f>
        <v>9.9079999999999995</v>
      </c>
      <c r="F169" s="21">
        <f>Clean_Data!G167</f>
        <v>4701957</v>
      </c>
    </row>
    <row r="170" spans="1:6" x14ac:dyDescent="0.3">
      <c r="A170" t="str">
        <f>Clean_Data!A168</f>
        <v>Ireland</v>
      </c>
      <c r="B170">
        <f>Clean_Data!C168</f>
        <v>2016</v>
      </c>
      <c r="C170" s="19">
        <f>Clean_Data!D168</f>
        <v>64129.557154238319</v>
      </c>
      <c r="D170" s="19">
        <f>Clean_Data!E168</f>
        <v>2.01247735963236E-2</v>
      </c>
      <c r="E170" s="20">
        <f>Clean_Data!F168</f>
        <v>8.3740000000000006</v>
      </c>
      <c r="F170" s="21">
        <f>Clean_Data!G168</f>
        <v>4762722</v>
      </c>
    </row>
    <row r="171" spans="1:6" x14ac:dyDescent="0.3">
      <c r="A171" t="str">
        <f>Clean_Data!A169</f>
        <v>Ireland</v>
      </c>
      <c r="B171">
        <f>Clean_Data!C169</f>
        <v>2017</v>
      </c>
      <c r="C171" s="19">
        <f>Clean_Data!D169</f>
        <v>72161.4047531385</v>
      </c>
      <c r="D171" s="19">
        <f>Clean_Data!E169</f>
        <v>0.36217303822937702</v>
      </c>
      <c r="E171" s="20">
        <f>Clean_Data!F169</f>
        <v>6.7130000000000001</v>
      </c>
      <c r="F171" s="21">
        <f>Clean_Data!G169</f>
        <v>4827445</v>
      </c>
    </row>
    <row r="172" spans="1:6" x14ac:dyDescent="0.3">
      <c r="A172" t="str">
        <f>Clean_Data!A170</f>
        <v>Ireland</v>
      </c>
      <c r="B172">
        <f>Clean_Data!C170</f>
        <v>2018</v>
      </c>
      <c r="C172" s="19">
        <f>Clean_Data!D170</f>
        <v>80804.112316482628</v>
      </c>
      <c r="D172" s="19">
        <f>Clean_Data!E170</f>
        <v>0.47113071371291498</v>
      </c>
      <c r="E172" s="20">
        <f>Clean_Data!F170</f>
        <v>5.7409999999999997</v>
      </c>
      <c r="F172" s="21">
        <f>Clean_Data!G170</f>
        <v>4898022</v>
      </c>
    </row>
    <row r="173" spans="1:6" x14ac:dyDescent="0.3">
      <c r="A173" t="str">
        <f>Clean_Data!A171</f>
        <v>Ireland</v>
      </c>
      <c r="B173">
        <f>Clean_Data!C171</f>
        <v>2019</v>
      </c>
      <c r="C173" s="19">
        <f>Clean_Data!D171</f>
        <v>81827.668887399603</v>
      </c>
      <c r="D173" s="19">
        <f>Clean_Data!E171</f>
        <v>0.93784296118927302</v>
      </c>
      <c r="E173" s="20">
        <f>Clean_Data!F171</f>
        <v>4.95</v>
      </c>
      <c r="F173" s="21">
        <f>Clean_Data!G171</f>
        <v>4976456</v>
      </c>
    </row>
    <row r="174" spans="1:6" x14ac:dyDescent="0.3">
      <c r="A174" t="str">
        <f>Clean_Data!A172</f>
        <v>Ireland</v>
      </c>
      <c r="B174">
        <f>Clean_Data!C172</f>
        <v>2020</v>
      </c>
      <c r="C174" s="19">
        <f>Clean_Data!D172</f>
        <v>86514.070610875409</v>
      </c>
      <c r="D174" s="19">
        <f>Clean_Data!E172</f>
        <v>-0.32618365128003202</v>
      </c>
      <c r="E174" s="20">
        <f>Clean_Data!F172</f>
        <v>5.6230000000000002</v>
      </c>
      <c r="F174" s="21">
        <f>Clean_Data!G172</f>
        <v>5039747</v>
      </c>
    </row>
    <row r="175" spans="1:6" x14ac:dyDescent="0.3">
      <c r="A175" t="str">
        <f>Clean_Data!A173</f>
        <v>Ireland</v>
      </c>
      <c r="B175">
        <f>Clean_Data!C173</f>
        <v>2021</v>
      </c>
      <c r="C175" s="19">
        <f>Clean_Data!D173</f>
        <v>103783.44628447875</v>
      </c>
      <c r="D175" s="19">
        <f>Clean_Data!E173</f>
        <v>2.3403411344704299</v>
      </c>
      <c r="E175" s="20">
        <f>Clean_Data!F173</f>
        <v>6.3570000000000002</v>
      </c>
      <c r="F175" s="21">
        <f>Clean_Data!G173</f>
        <v>5110585</v>
      </c>
    </row>
    <row r="176" spans="1:6" x14ac:dyDescent="0.3">
      <c r="A176" t="str">
        <f>Clean_Data!A174</f>
        <v>Ireland</v>
      </c>
      <c r="B176">
        <f>Clean_Data!C174</f>
        <v>2022</v>
      </c>
      <c r="C176" s="19">
        <f>Clean_Data!D174</f>
        <v>105190.68595273084</v>
      </c>
      <c r="D176" s="19">
        <f>Clean_Data!E174</f>
        <v>7.8294573643410397</v>
      </c>
      <c r="E176" s="20">
        <f>Clean_Data!F174</f>
        <v>4.4649999999999999</v>
      </c>
      <c r="F176" s="21">
        <f>Clean_Data!G174</f>
        <v>5212836</v>
      </c>
    </row>
    <row r="177" spans="1:6" x14ac:dyDescent="0.3">
      <c r="A177" t="str">
        <f>Clean_Data!A175</f>
        <v>Ireland</v>
      </c>
      <c r="B177">
        <f>Clean_Data!C175</f>
        <v>2023</v>
      </c>
      <c r="C177" s="19">
        <f>Clean_Data!D175</f>
        <v>106818.91713080389</v>
      </c>
      <c r="D177" s="19">
        <f>Clean_Data!E175</f>
        <v>6.2994248741912404</v>
      </c>
      <c r="E177" s="20">
        <f>Clean_Data!F175</f>
        <v>4.2430000000000003</v>
      </c>
      <c r="F177" s="21">
        <f>Clean_Data!G175</f>
        <v>5311538</v>
      </c>
    </row>
    <row r="178" spans="1:6" x14ac:dyDescent="0.3">
      <c r="A178" t="str">
        <f>Clean_Data!A176</f>
        <v>Ireland</v>
      </c>
      <c r="B178">
        <f>Clean_Data!C176</f>
        <v>2024</v>
      </c>
      <c r="C178" s="19">
        <f>Clean_Data!D176</f>
        <v>112894.95324080539</v>
      </c>
      <c r="D178" s="19">
        <f>Clean_Data!E176</f>
        <v>2.1134499957731601</v>
      </c>
      <c r="E178" s="20">
        <f>Clean_Data!F176</f>
        <v>4.3</v>
      </c>
      <c r="F178" s="21">
        <f>Clean_Data!G176</f>
        <v>5395790</v>
      </c>
    </row>
    <row r="179" spans="1:6" x14ac:dyDescent="0.3">
      <c r="A179" t="str">
        <f>Clean_Data!A177</f>
        <v>Italy</v>
      </c>
      <c r="B179">
        <f>Clean_Data!C177</f>
        <v>2000</v>
      </c>
      <c r="C179" s="19">
        <f>Clean_Data!D177</f>
        <v>20190.00356360841</v>
      </c>
      <c r="D179" s="19">
        <f>Clean_Data!E177</f>
        <v>2.5376871362644202</v>
      </c>
      <c r="E179" s="20">
        <f>Clean_Data!F177</f>
        <v>10.834</v>
      </c>
      <c r="F179" s="21">
        <f>Clean_Data!G177</f>
        <v>56942108</v>
      </c>
    </row>
    <row r="180" spans="1:6" x14ac:dyDescent="0.3">
      <c r="A180" t="str">
        <f>Clean_Data!A178</f>
        <v>Italy</v>
      </c>
      <c r="B180">
        <f>Clean_Data!C178</f>
        <v>2001</v>
      </c>
      <c r="C180" s="19">
        <f>Clean_Data!D178</f>
        <v>20570.438591786176</v>
      </c>
      <c r="D180" s="19">
        <f>Clean_Data!E178</f>
        <v>2.7851645190571901</v>
      </c>
      <c r="E180" s="20">
        <f>Clean_Data!F178</f>
        <v>9.5990000000000002</v>
      </c>
      <c r="F180" s="21">
        <f>Clean_Data!G178</f>
        <v>56976981</v>
      </c>
    </row>
    <row r="181" spans="1:6" x14ac:dyDescent="0.3">
      <c r="A181" t="str">
        <f>Clean_Data!A179</f>
        <v>Italy</v>
      </c>
      <c r="B181">
        <f>Clean_Data!C179</f>
        <v>2002</v>
      </c>
      <c r="C181" s="19">
        <f>Clean_Data!D179</f>
        <v>22451.396437936848</v>
      </c>
      <c r="D181" s="19">
        <f>Clean_Data!E179</f>
        <v>2.46532018051998</v>
      </c>
      <c r="E181" s="20">
        <f>Clean_Data!F179</f>
        <v>9.2110000000000003</v>
      </c>
      <c r="F181" s="21">
        <f>Clean_Data!G179</f>
        <v>57089824</v>
      </c>
    </row>
    <row r="182" spans="1:6" x14ac:dyDescent="0.3">
      <c r="A182" t="str">
        <f>Clean_Data!A180</f>
        <v>Italy</v>
      </c>
      <c r="B182">
        <f>Clean_Data!C180</f>
        <v>2003</v>
      </c>
      <c r="C182" s="19">
        <f>Clean_Data!D180</f>
        <v>27577.570031985477</v>
      </c>
      <c r="D182" s="19">
        <f>Clean_Data!E180</f>
        <v>2.6725583851331298</v>
      </c>
      <c r="E182" s="20">
        <f>Clean_Data!F180</f>
        <v>8.8689999999999998</v>
      </c>
      <c r="F182" s="21">
        <f>Clean_Data!G180</f>
        <v>57399184</v>
      </c>
    </row>
    <row r="183" spans="1:6" x14ac:dyDescent="0.3">
      <c r="A183" t="str">
        <f>Clean_Data!A181</f>
        <v>Italy</v>
      </c>
      <c r="B183">
        <f>Clean_Data!C181</f>
        <v>2004</v>
      </c>
      <c r="C183" s="19">
        <f>Clean_Data!D181</f>
        <v>31348.190184144543</v>
      </c>
      <c r="D183" s="19">
        <f>Clean_Data!E181</f>
        <v>2.2067358779244701</v>
      </c>
      <c r="E183" s="20">
        <f>Clean_Data!F181</f>
        <v>7.8659999999999997</v>
      </c>
      <c r="F183" s="21">
        <f>Clean_Data!G181</f>
        <v>57828179</v>
      </c>
    </row>
    <row r="184" spans="1:6" x14ac:dyDescent="0.3">
      <c r="A184" t="str">
        <f>Clean_Data!A182</f>
        <v>Italy</v>
      </c>
      <c r="B184">
        <f>Clean_Data!C182</f>
        <v>2005</v>
      </c>
      <c r="C184" s="19">
        <f>Clean_Data!D182</f>
        <v>32062.723833669032</v>
      </c>
      <c r="D184" s="19">
        <f>Clean_Data!E182</f>
        <v>1.9852951636120499</v>
      </c>
      <c r="E184" s="20">
        <f>Clean_Data!F182</f>
        <v>7.73</v>
      </c>
      <c r="F184" s="21">
        <f>Clean_Data!G182</f>
        <v>58166682</v>
      </c>
    </row>
    <row r="185" spans="1:6" x14ac:dyDescent="0.3">
      <c r="A185" t="str">
        <f>Clean_Data!A183</f>
        <v>Italy</v>
      </c>
      <c r="B185">
        <f>Clean_Data!C183</f>
        <v>2006</v>
      </c>
      <c r="C185" s="19">
        <f>Clean_Data!D183</f>
        <v>33537.128699426947</v>
      </c>
      <c r="D185" s="19">
        <f>Clean_Data!E183</f>
        <v>2.09084154117072</v>
      </c>
      <c r="E185" s="20">
        <f>Clean_Data!F183</f>
        <v>6.7770000000000001</v>
      </c>
      <c r="F185" s="21">
        <f>Clean_Data!G183</f>
        <v>58399861</v>
      </c>
    </row>
    <row r="186" spans="1:6" x14ac:dyDescent="0.3">
      <c r="A186" t="str">
        <f>Clean_Data!A184</f>
        <v>Italy</v>
      </c>
      <c r="B186">
        <f>Clean_Data!C184</f>
        <v>2007</v>
      </c>
      <c r="C186" s="19">
        <f>Clean_Data!D184</f>
        <v>37826.175455482276</v>
      </c>
      <c r="D186" s="19">
        <f>Clean_Data!E184</f>
        <v>1.8297392906679399</v>
      </c>
      <c r="E186" s="20">
        <f>Clean_Data!F184</f>
        <v>6.0759999999999996</v>
      </c>
      <c r="F186" s="21">
        <f>Clean_Data!G184</f>
        <v>58756247</v>
      </c>
    </row>
    <row r="187" spans="1:6" x14ac:dyDescent="0.3">
      <c r="A187" t="str">
        <f>Clean_Data!A185</f>
        <v>Italy</v>
      </c>
      <c r="B187">
        <f>Clean_Data!C185</f>
        <v>2008</v>
      </c>
      <c r="C187" s="19">
        <f>Clean_Data!D185</f>
        <v>40828.579558093719</v>
      </c>
      <c r="D187" s="19">
        <f>Clean_Data!E185</f>
        <v>3.34783416446058</v>
      </c>
      <c r="E187" s="20">
        <f>Clean_Data!F185</f>
        <v>6.7229999999999999</v>
      </c>
      <c r="F187" s="21">
        <f>Clean_Data!G185</f>
        <v>59211181</v>
      </c>
    </row>
    <row r="188" spans="1:6" x14ac:dyDescent="0.3">
      <c r="A188" t="str">
        <f>Clean_Data!A186</f>
        <v>Italy</v>
      </c>
      <c r="B188">
        <f>Clean_Data!C186</f>
        <v>2009</v>
      </c>
      <c r="C188" s="19">
        <f>Clean_Data!D186</f>
        <v>37099.6133958219</v>
      </c>
      <c r="D188" s="19">
        <f>Clean_Data!E186</f>
        <v>0.77476840513046696</v>
      </c>
      <c r="E188" s="20">
        <f>Clean_Data!F186</f>
        <v>7.7489999999999997</v>
      </c>
      <c r="F188" s="21">
        <f>Clean_Data!G186</f>
        <v>59555454</v>
      </c>
    </row>
    <row r="189" spans="1:6" x14ac:dyDescent="0.3">
      <c r="A189" t="str">
        <f>Clean_Data!A187</f>
        <v>Italy</v>
      </c>
      <c r="B189">
        <f>Clean_Data!C187</f>
        <v>2010</v>
      </c>
      <c r="C189" s="19">
        <f>Clean_Data!D187</f>
        <v>35856.862548553916</v>
      </c>
      <c r="D189" s="19">
        <f>Clean_Data!E187</f>
        <v>1.5255152483765599</v>
      </c>
      <c r="E189" s="20">
        <f>Clean_Data!F187</f>
        <v>8.3629999999999995</v>
      </c>
      <c r="F189" s="21">
        <f>Clean_Data!G187</f>
        <v>59819407</v>
      </c>
    </row>
    <row r="190" spans="1:6" x14ac:dyDescent="0.3">
      <c r="A190" t="str">
        <f>Clean_Data!A188</f>
        <v>Italy</v>
      </c>
      <c r="B190">
        <f>Clean_Data!C188</f>
        <v>2011</v>
      </c>
      <c r="C190" s="19">
        <f>Clean_Data!D188</f>
        <v>38432.37428200186</v>
      </c>
      <c r="D190" s="19">
        <f>Clean_Data!E188</f>
        <v>2.7805745844426002</v>
      </c>
      <c r="E190" s="20">
        <f>Clean_Data!F188</f>
        <v>8.359</v>
      </c>
      <c r="F190" s="21">
        <f>Clean_Data!G188</f>
        <v>60026841</v>
      </c>
    </row>
    <row r="191" spans="1:6" x14ac:dyDescent="0.3">
      <c r="A191" t="str">
        <f>Clean_Data!A189</f>
        <v>Italy</v>
      </c>
      <c r="B191">
        <f>Clean_Data!C189</f>
        <v>2012</v>
      </c>
      <c r="C191" s="19">
        <f>Clean_Data!D189</f>
        <v>34854.394944196458</v>
      </c>
      <c r="D191" s="19">
        <f>Clean_Data!E189</f>
        <v>3.0413611208225801</v>
      </c>
      <c r="E191" s="20">
        <f>Clean_Data!F189</f>
        <v>10.654999999999999</v>
      </c>
      <c r="F191" s="21">
        <f>Clean_Data!G189</f>
        <v>60191247</v>
      </c>
    </row>
    <row r="192" spans="1:6" x14ac:dyDescent="0.3">
      <c r="A192" t="str">
        <f>Clean_Data!A190</f>
        <v>Italy</v>
      </c>
      <c r="B192">
        <f>Clean_Data!C190</f>
        <v>2013</v>
      </c>
      <c r="C192" s="19">
        <f>Clean_Data!D190</f>
        <v>35701.674600237551</v>
      </c>
      <c r="D192" s="19">
        <f>Clean_Data!E190</f>
        <v>1.21999478919838</v>
      </c>
      <c r="E192" s="20">
        <f>Clean_Data!F190</f>
        <v>12.148999999999999</v>
      </c>
      <c r="F192" s="21">
        <f>Clean_Data!G190</f>
        <v>60311613</v>
      </c>
    </row>
    <row r="193" spans="1:6" x14ac:dyDescent="0.3">
      <c r="A193" t="str">
        <f>Clean_Data!A191</f>
        <v>Italy</v>
      </c>
      <c r="B193">
        <f>Clean_Data!C191</f>
        <v>2014</v>
      </c>
      <c r="C193" s="19">
        <f>Clean_Data!D191</f>
        <v>36028.349402234882</v>
      </c>
      <c r="D193" s="19">
        <f>Clean_Data!E191</f>
        <v>0.24105662726226501</v>
      </c>
      <c r="E193" s="20">
        <f>Clean_Data!F191</f>
        <v>12.683</v>
      </c>
      <c r="F193" s="21">
        <f>Clean_Data!G191</f>
        <v>60320707</v>
      </c>
    </row>
    <row r="194" spans="1:6" x14ac:dyDescent="0.3">
      <c r="A194" t="str">
        <f>Clean_Data!A192</f>
        <v>Italy</v>
      </c>
      <c r="B194">
        <f>Clean_Data!C192</f>
        <v>2015</v>
      </c>
      <c r="C194" s="19">
        <f>Clean_Data!D192</f>
        <v>30639.882975143213</v>
      </c>
      <c r="D194" s="19">
        <f>Clean_Data!E192</f>
        <v>3.8788054612378303E-2</v>
      </c>
      <c r="E194" s="20">
        <f>Clean_Data!F192</f>
        <v>11.896000000000001</v>
      </c>
      <c r="F194" s="21">
        <f>Clean_Data!G192</f>
        <v>60229605</v>
      </c>
    </row>
    <row r="195" spans="1:6" x14ac:dyDescent="0.3">
      <c r="A195" t="str">
        <f>Clean_Data!A193</f>
        <v>Italy</v>
      </c>
      <c r="B195">
        <f>Clean_Data!C193</f>
        <v>2016</v>
      </c>
      <c r="C195" s="19">
        <f>Clean_Data!D193</f>
        <v>31391.569289810846</v>
      </c>
      <c r="D195" s="19">
        <f>Clean_Data!E193</f>
        <v>-9.4066386793201506E-2</v>
      </c>
      <c r="E195" s="20">
        <f>Clean_Data!F193</f>
        <v>11.688000000000001</v>
      </c>
      <c r="F195" s="21">
        <f>Clean_Data!G193</f>
        <v>60115223</v>
      </c>
    </row>
    <row r="196" spans="1:6" x14ac:dyDescent="0.3">
      <c r="A196" t="str">
        <f>Clean_Data!A194</f>
        <v>Italy</v>
      </c>
      <c r="B196">
        <f>Clean_Data!C194</f>
        <v>2017</v>
      </c>
      <c r="C196" s="19">
        <f>Clean_Data!D194</f>
        <v>32844.115660604024</v>
      </c>
      <c r="D196" s="19">
        <f>Clean_Data!E194</f>
        <v>1.2265288140113499</v>
      </c>
      <c r="E196" s="20">
        <f>Clean_Data!F194</f>
        <v>11.211</v>
      </c>
      <c r="F196" s="21">
        <f>Clean_Data!G194</f>
        <v>60002252</v>
      </c>
    </row>
    <row r="197" spans="1:6" x14ac:dyDescent="0.3">
      <c r="A197" t="str">
        <f>Clean_Data!A195</f>
        <v>Italy</v>
      </c>
      <c r="B197">
        <f>Clean_Data!C195</f>
        <v>2018</v>
      </c>
      <c r="C197" s="19">
        <f>Clean_Data!D195</f>
        <v>35062.336417694889</v>
      </c>
      <c r="D197" s="19">
        <f>Clean_Data!E195</f>
        <v>1.1374858757867501</v>
      </c>
      <c r="E197" s="20">
        <f>Clean_Data!F195</f>
        <v>10.538</v>
      </c>
      <c r="F197" s="21">
        <f>Clean_Data!G195</f>
        <v>59877221</v>
      </c>
    </row>
    <row r="198" spans="1:6" x14ac:dyDescent="0.3">
      <c r="A198" t="str">
        <f>Clean_Data!A196</f>
        <v>Italy</v>
      </c>
      <c r="B198">
        <f>Clean_Data!C196</f>
        <v>2019</v>
      </c>
      <c r="C198" s="19">
        <f>Clean_Data!D196</f>
        <v>33812.788724867976</v>
      </c>
      <c r="D198" s="19">
        <f>Clean_Data!E196</f>
        <v>0.61124944050639796</v>
      </c>
      <c r="E198" s="20">
        <f>Clean_Data!F196</f>
        <v>9.8840000000000003</v>
      </c>
      <c r="F198" s="21">
        <f>Clean_Data!G196</f>
        <v>59729081</v>
      </c>
    </row>
    <row r="199" spans="1:6" x14ac:dyDescent="0.3">
      <c r="A199" t="str">
        <f>Clean_Data!A197</f>
        <v>Italy</v>
      </c>
      <c r="B199">
        <f>Clean_Data!C197</f>
        <v>2020</v>
      </c>
      <c r="C199" s="19">
        <f>Clean_Data!D197</f>
        <v>32091.486662136638</v>
      </c>
      <c r="D199" s="19">
        <f>Clean_Data!E197</f>
        <v>-0.13770725904821601</v>
      </c>
      <c r="E199" s="20">
        <f>Clean_Data!F197</f>
        <v>9.1920000000000002</v>
      </c>
      <c r="F199" s="21">
        <f>Clean_Data!G197</f>
        <v>59438851</v>
      </c>
    </row>
    <row r="200" spans="1:6" x14ac:dyDescent="0.3">
      <c r="A200" t="str">
        <f>Clean_Data!A198</f>
        <v>Italy</v>
      </c>
      <c r="B200">
        <f>Clean_Data!C198</f>
        <v>2021</v>
      </c>
      <c r="C200" s="19">
        <f>Clean_Data!D198</f>
        <v>36852.542541495095</v>
      </c>
      <c r="D200" s="19">
        <f>Clean_Data!E198</f>
        <v>1.87378306224529</v>
      </c>
      <c r="E200" s="20">
        <f>Clean_Data!F198</f>
        <v>9.4969999999999999</v>
      </c>
      <c r="F200" s="21">
        <f>Clean_Data!G198</f>
        <v>59133173</v>
      </c>
    </row>
    <row r="201" spans="1:6" x14ac:dyDescent="0.3">
      <c r="A201" t="str">
        <f>Clean_Data!A199</f>
        <v>Italy</v>
      </c>
      <c r="B201">
        <f>Clean_Data!C199</f>
        <v>2022</v>
      </c>
      <c r="C201" s="19">
        <f>Clean_Data!D199</f>
        <v>35653.904210349501</v>
      </c>
      <c r="D201" s="19">
        <f>Clean_Data!E199</f>
        <v>8.20128981173605</v>
      </c>
      <c r="E201" s="20">
        <f>Clean_Data!F199</f>
        <v>8.0690000000000008</v>
      </c>
      <c r="F201" s="21">
        <f>Clean_Data!G199</f>
        <v>59013667</v>
      </c>
    </row>
    <row r="202" spans="1:6" x14ac:dyDescent="0.3">
      <c r="A202" t="str">
        <f>Clean_Data!A200</f>
        <v>Italy</v>
      </c>
      <c r="B202">
        <f>Clean_Data!C200</f>
        <v>2023</v>
      </c>
      <c r="C202" s="19">
        <f>Clean_Data!D200</f>
        <v>39279.699782164018</v>
      </c>
      <c r="D202" s="19">
        <f>Clean_Data!E200</f>
        <v>5.6221929221645697</v>
      </c>
      <c r="E202" s="20">
        <f>Clean_Data!F200</f>
        <v>7.6269999999999998</v>
      </c>
      <c r="F202" s="21">
        <f>Clean_Data!G200</f>
        <v>58984216</v>
      </c>
    </row>
    <row r="203" spans="1:6" x14ac:dyDescent="0.3">
      <c r="A203" t="str">
        <f>Clean_Data!A201</f>
        <v>Italy</v>
      </c>
      <c r="B203">
        <f>Clean_Data!C201</f>
        <v>2024</v>
      </c>
      <c r="C203" s="19">
        <f>Clean_Data!D201</f>
        <v>40429.622404735237</v>
      </c>
      <c r="D203" s="19">
        <f>Clean_Data!E201</f>
        <v>0.98237511163771896</v>
      </c>
      <c r="E203" s="20">
        <f>Clean_Data!F201</f>
        <v>6.5</v>
      </c>
      <c r="F203" s="21">
        <f>Clean_Data!G201</f>
        <v>58952704</v>
      </c>
    </row>
    <row r="204" spans="1:6" x14ac:dyDescent="0.3">
      <c r="A204" t="str">
        <f>Clean_Data!A202</f>
        <v>Japan</v>
      </c>
      <c r="B204">
        <f>Clean_Data!C202</f>
        <v>2000</v>
      </c>
      <c r="C204" s="19">
        <f>Clean_Data!D202</f>
        <v>39752.93739775502</v>
      </c>
      <c r="D204" s="19">
        <f>Clean_Data!E202</f>
        <v>-0.67657868359517503</v>
      </c>
      <c r="E204" s="20">
        <f>Clean_Data!F202</f>
        <v>4.7480000000000002</v>
      </c>
      <c r="F204" s="21">
        <f>Clean_Data!G202</f>
        <v>126843000</v>
      </c>
    </row>
    <row r="205" spans="1:6" x14ac:dyDescent="0.3">
      <c r="A205" t="str">
        <f>Clean_Data!A203</f>
        <v>Japan</v>
      </c>
      <c r="B205">
        <f>Clean_Data!C203</f>
        <v>2001</v>
      </c>
      <c r="C205" s="19">
        <f>Clean_Data!D203</f>
        <v>34910.166403686977</v>
      </c>
      <c r="D205" s="19">
        <f>Clean_Data!E203</f>
        <v>-0.74005550416273702</v>
      </c>
      <c r="E205" s="20">
        <f>Clean_Data!F203</f>
        <v>5.0199999999999996</v>
      </c>
      <c r="F205" s="21">
        <f>Clean_Data!G203</f>
        <v>127149000</v>
      </c>
    </row>
    <row r="206" spans="1:6" x14ac:dyDescent="0.3">
      <c r="A206" t="str">
        <f>Clean_Data!A204</f>
        <v>Japan</v>
      </c>
      <c r="B206">
        <f>Clean_Data!C204</f>
        <v>2002</v>
      </c>
      <c r="C206" s="19">
        <f>Clean_Data!D204</f>
        <v>33315.916517496204</v>
      </c>
      <c r="D206" s="19">
        <f>Clean_Data!E204</f>
        <v>-0.92349402694231997</v>
      </c>
      <c r="E206" s="20">
        <f>Clean_Data!F204</f>
        <v>5.3860000000000001</v>
      </c>
      <c r="F206" s="21">
        <f>Clean_Data!G204</f>
        <v>127445000</v>
      </c>
    </row>
    <row r="207" spans="1:6" x14ac:dyDescent="0.3">
      <c r="A207" t="str">
        <f>Clean_Data!A205</f>
        <v>Japan</v>
      </c>
      <c r="B207">
        <f>Clean_Data!C205</f>
        <v>2003</v>
      </c>
      <c r="C207" s="19">
        <f>Clean_Data!D205</f>
        <v>35808.681679238784</v>
      </c>
      <c r="D207" s="19">
        <f>Clean_Data!E205</f>
        <v>-0.25654181631602402</v>
      </c>
      <c r="E207" s="20">
        <f>Clean_Data!F205</f>
        <v>5.2510000000000003</v>
      </c>
      <c r="F207" s="21">
        <f>Clean_Data!G205</f>
        <v>127718000</v>
      </c>
    </row>
    <row r="208" spans="1:6" x14ac:dyDescent="0.3">
      <c r="A208" t="str">
        <f>Clean_Data!A206</f>
        <v>Japan</v>
      </c>
      <c r="B208">
        <f>Clean_Data!C206</f>
        <v>2004</v>
      </c>
      <c r="C208" s="19">
        <f>Clean_Data!D206</f>
        <v>38677.570806478747</v>
      </c>
      <c r="D208" s="19">
        <f>Clean_Data!E206</f>
        <v>-8.5733882031027095E-3</v>
      </c>
      <c r="E208" s="20">
        <f>Clean_Data!F206</f>
        <v>4.734</v>
      </c>
      <c r="F208" s="21">
        <f>Clean_Data!G206</f>
        <v>127761000</v>
      </c>
    </row>
    <row r="209" spans="1:6" x14ac:dyDescent="0.3">
      <c r="A209" t="str">
        <f>Clean_Data!A207</f>
        <v>Japan</v>
      </c>
      <c r="B209">
        <f>Clean_Data!C207</f>
        <v>2005</v>
      </c>
      <c r="C209" s="19">
        <f>Clean_Data!D207</f>
        <v>38158.675826396313</v>
      </c>
      <c r="D209" s="19">
        <f>Clean_Data!E207</f>
        <v>-0.28294606876438999</v>
      </c>
      <c r="E209" s="20">
        <f>Clean_Data!F207</f>
        <v>4.4459999999999997</v>
      </c>
      <c r="F209" s="21">
        <f>Clean_Data!G207</f>
        <v>127773000</v>
      </c>
    </row>
    <row r="210" spans="1:6" x14ac:dyDescent="0.3">
      <c r="A210" t="str">
        <f>Clean_Data!A208</f>
        <v>Japan</v>
      </c>
      <c r="B210">
        <f>Clean_Data!C208</f>
        <v>2006</v>
      </c>
      <c r="C210" s="19">
        <f>Clean_Data!D208</f>
        <v>36354.427164634937</v>
      </c>
      <c r="D210" s="19">
        <f>Clean_Data!E208</f>
        <v>0.249355116079084</v>
      </c>
      <c r="E210" s="20">
        <f>Clean_Data!F208</f>
        <v>4.1920000000000002</v>
      </c>
      <c r="F210" s="21">
        <f>Clean_Data!G208</f>
        <v>127854000</v>
      </c>
    </row>
    <row r="211" spans="1:6" x14ac:dyDescent="0.3">
      <c r="A211" t="str">
        <f>Clean_Data!A209</f>
        <v>Japan</v>
      </c>
      <c r="B211">
        <f>Clean_Data!C209</f>
        <v>2007</v>
      </c>
      <c r="C211" s="19">
        <f>Clean_Data!D209</f>
        <v>36129.95351329253</v>
      </c>
      <c r="D211" s="19">
        <f>Clean_Data!E209</f>
        <v>6.0039454498668897E-2</v>
      </c>
      <c r="E211" s="20">
        <f>Clean_Data!F209</f>
        <v>3.8879999999999999</v>
      </c>
      <c r="F211" s="21">
        <f>Clean_Data!G209</f>
        <v>128001000</v>
      </c>
    </row>
    <row r="212" spans="1:6" x14ac:dyDescent="0.3">
      <c r="A212" t="str">
        <f>Clean_Data!A210</f>
        <v>Japan</v>
      </c>
      <c r="B212">
        <f>Clean_Data!C210</f>
        <v>2008</v>
      </c>
      <c r="C212" s="19">
        <f>Clean_Data!D210</f>
        <v>40294.208130970161</v>
      </c>
      <c r="D212" s="19">
        <f>Clean_Data!E210</f>
        <v>1.3800788616491999</v>
      </c>
      <c r="E212" s="20">
        <f>Clean_Data!F210</f>
        <v>4.0019999999999998</v>
      </c>
      <c r="F212" s="21">
        <f>Clean_Data!G210</f>
        <v>128063000</v>
      </c>
    </row>
    <row r="213" spans="1:6" x14ac:dyDescent="0.3">
      <c r="A213" t="str">
        <f>Clean_Data!A211</f>
        <v>Japan</v>
      </c>
      <c r="B213">
        <f>Clean_Data!C211</f>
        <v>2009</v>
      </c>
      <c r="C213" s="19">
        <f>Clean_Data!D211</f>
        <v>41678.178306319511</v>
      </c>
      <c r="D213" s="19">
        <f>Clean_Data!E211</f>
        <v>-1.3528367295171799</v>
      </c>
      <c r="E213" s="20">
        <f>Clean_Data!F211</f>
        <v>5.0679999999999996</v>
      </c>
      <c r="F213" s="21">
        <f>Clean_Data!G211</f>
        <v>128047000</v>
      </c>
    </row>
    <row r="214" spans="1:6" x14ac:dyDescent="0.3">
      <c r="A214" t="str">
        <f>Clean_Data!A212</f>
        <v>Japan</v>
      </c>
      <c r="B214">
        <f>Clean_Data!C212</f>
        <v>2010</v>
      </c>
      <c r="C214" s="19">
        <f>Clean_Data!D212</f>
        <v>45378.137810939865</v>
      </c>
      <c r="D214" s="19">
        <f>Clean_Data!E212</f>
        <v>-0.72824320751777805</v>
      </c>
      <c r="E214" s="20">
        <f>Clean_Data!F212</f>
        <v>5.1020000000000003</v>
      </c>
      <c r="F214" s="21">
        <f>Clean_Data!G212</f>
        <v>128070000</v>
      </c>
    </row>
    <row r="215" spans="1:6" x14ac:dyDescent="0.3">
      <c r="A215" t="str">
        <f>Clean_Data!A213</f>
        <v>Japan</v>
      </c>
      <c r="B215">
        <f>Clean_Data!C213</f>
        <v>2011</v>
      </c>
      <c r="C215" s="19">
        <f>Clean_Data!D213</f>
        <v>49122.077634247042</v>
      </c>
      <c r="D215" s="19">
        <f>Clean_Data!E213</f>
        <v>-0.27245561610123997</v>
      </c>
      <c r="E215" s="20">
        <f>Clean_Data!F213</f>
        <v>4.55</v>
      </c>
      <c r="F215" s="21">
        <f>Clean_Data!G213</f>
        <v>127833000</v>
      </c>
    </row>
    <row r="216" spans="1:6" x14ac:dyDescent="0.3">
      <c r="A216" t="str">
        <f>Clean_Data!A214</f>
        <v>Japan</v>
      </c>
      <c r="B216">
        <f>Clean_Data!C214</f>
        <v>2012</v>
      </c>
      <c r="C216" s="19">
        <f>Clean_Data!D214</f>
        <v>49626.683032757101</v>
      </c>
      <c r="D216" s="19">
        <f>Clean_Data!E214</f>
        <v>-4.4064510443260103E-2</v>
      </c>
      <c r="E216" s="20">
        <f>Clean_Data!F214</f>
        <v>4.3579999999999997</v>
      </c>
      <c r="F216" s="21">
        <f>Clean_Data!G214</f>
        <v>127629000</v>
      </c>
    </row>
    <row r="217" spans="1:6" x14ac:dyDescent="0.3">
      <c r="A217" t="str">
        <f>Clean_Data!A215</f>
        <v>Japan</v>
      </c>
      <c r="B217">
        <f>Clean_Data!C215</f>
        <v>2013</v>
      </c>
      <c r="C217" s="19">
        <f>Clean_Data!D215</f>
        <v>41369.19484794981</v>
      </c>
      <c r="D217" s="19">
        <f>Clean_Data!E215</f>
        <v>0.33503791218474099</v>
      </c>
      <c r="E217" s="20">
        <f>Clean_Data!F215</f>
        <v>4.0380000000000003</v>
      </c>
      <c r="F217" s="21">
        <f>Clean_Data!G215</f>
        <v>127445000</v>
      </c>
    </row>
    <row r="218" spans="1:6" x14ac:dyDescent="0.3">
      <c r="A218" t="str">
        <f>Clean_Data!A216</f>
        <v>Japan</v>
      </c>
      <c r="B218">
        <f>Clean_Data!C216</f>
        <v>2014</v>
      </c>
      <c r="C218" s="19">
        <f>Clean_Data!D216</f>
        <v>39172.847116194796</v>
      </c>
      <c r="D218" s="19">
        <f>Clean_Data!E216</f>
        <v>2.7592267135325299</v>
      </c>
      <c r="E218" s="20">
        <f>Clean_Data!F216</f>
        <v>3.589</v>
      </c>
      <c r="F218" s="21">
        <f>Clean_Data!G216</f>
        <v>127276000</v>
      </c>
    </row>
    <row r="219" spans="1:6" x14ac:dyDescent="0.3">
      <c r="A219" t="str">
        <f>Clean_Data!A217</f>
        <v>Japan</v>
      </c>
      <c r="B219">
        <f>Clean_Data!C217</f>
        <v>2015</v>
      </c>
      <c r="C219" s="19">
        <f>Clean_Data!D217</f>
        <v>35664.644611061267</v>
      </c>
      <c r="D219" s="19">
        <f>Clean_Data!E217</f>
        <v>0.79527963057983897</v>
      </c>
      <c r="E219" s="20">
        <f>Clean_Data!F217</f>
        <v>3.3849999999999998</v>
      </c>
      <c r="F219" s="21">
        <f>Clean_Data!G217</f>
        <v>127141000</v>
      </c>
    </row>
    <row r="220" spans="1:6" x14ac:dyDescent="0.3">
      <c r="A220" t="str">
        <f>Clean_Data!A218</f>
        <v>Japan</v>
      </c>
      <c r="B220">
        <f>Clean_Data!C218</f>
        <v>2016</v>
      </c>
      <c r="C220" s="19">
        <f>Clean_Data!D218</f>
        <v>40214.968863156188</v>
      </c>
      <c r="D220" s="19">
        <f>Clean_Data!E218</f>
        <v>-0.127258844489753</v>
      </c>
      <c r="E220" s="20">
        <f>Clean_Data!F218</f>
        <v>3.1320000000000001</v>
      </c>
      <c r="F220" s="21">
        <f>Clean_Data!G218</f>
        <v>127076000</v>
      </c>
    </row>
    <row r="221" spans="1:6" x14ac:dyDescent="0.3">
      <c r="A221" t="str">
        <f>Clean_Data!A219</f>
        <v>Japan</v>
      </c>
      <c r="B221">
        <f>Clean_Data!C219</f>
        <v>2017</v>
      </c>
      <c r="C221" s="19">
        <f>Clean_Data!D219</f>
        <v>39679.86352629483</v>
      </c>
      <c r="D221" s="19">
        <f>Clean_Data!E219</f>
        <v>0.48419979612638497</v>
      </c>
      <c r="E221" s="20">
        <f>Clean_Data!F219</f>
        <v>2.8220000000000001</v>
      </c>
      <c r="F221" s="21">
        <f>Clean_Data!G219</f>
        <v>126972000</v>
      </c>
    </row>
    <row r="222" spans="1:6" x14ac:dyDescent="0.3">
      <c r="A222" t="str">
        <f>Clean_Data!A220</f>
        <v>Japan</v>
      </c>
      <c r="B222">
        <f>Clean_Data!C220</f>
        <v>2018</v>
      </c>
      <c r="C222" s="19">
        <f>Clean_Data!D220</f>
        <v>40645.47808651896</v>
      </c>
      <c r="D222" s="19">
        <f>Clean_Data!E220</f>
        <v>0.98909459802184796</v>
      </c>
      <c r="E222" s="20">
        <f>Clean_Data!F220</f>
        <v>2.4670000000000001</v>
      </c>
      <c r="F222" s="21">
        <f>Clean_Data!G220</f>
        <v>126811000</v>
      </c>
    </row>
    <row r="223" spans="1:6" x14ac:dyDescent="0.3">
      <c r="A223" t="str">
        <f>Clean_Data!A221</f>
        <v>Japan</v>
      </c>
      <c r="B223">
        <f>Clean_Data!C221</f>
        <v>2019</v>
      </c>
      <c r="C223" s="19">
        <f>Clean_Data!D221</f>
        <v>41424.865560154343</v>
      </c>
      <c r="D223" s="19">
        <f>Clean_Data!E221</f>
        <v>0.46877615938394901</v>
      </c>
      <c r="E223" s="20">
        <f>Clean_Data!F221</f>
        <v>2.351</v>
      </c>
      <c r="F223" s="21">
        <f>Clean_Data!G221</f>
        <v>126633000</v>
      </c>
    </row>
    <row r="224" spans="1:6" x14ac:dyDescent="0.3">
      <c r="A224" t="str">
        <f>Clean_Data!A222</f>
        <v>Japan</v>
      </c>
      <c r="B224">
        <f>Clean_Data!C222</f>
        <v>2020</v>
      </c>
      <c r="C224" s="19">
        <f>Clean_Data!D222</f>
        <v>41098.973900455276</v>
      </c>
      <c r="D224" s="19">
        <f>Clean_Data!E222</f>
        <v>-2.4995834027731E-2</v>
      </c>
      <c r="E224" s="20">
        <f>Clean_Data!F222</f>
        <v>2.8090000000000002</v>
      </c>
      <c r="F224" s="21">
        <f>Clean_Data!G222</f>
        <v>126261000</v>
      </c>
    </row>
    <row r="225" spans="1:6" x14ac:dyDescent="0.3">
      <c r="A225" t="str">
        <f>Clean_Data!A223</f>
        <v>Japan</v>
      </c>
      <c r="B225">
        <f>Clean_Data!C223</f>
        <v>2021</v>
      </c>
      <c r="C225" s="19">
        <f>Clean_Data!D223</f>
        <v>41580.739040705004</v>
      </c>
      <c r="D225" s="19">
        <f>Clean_Data!E223</f>
        <v>-0.23335277939826299</v>
      </c>
      <c r="E225" s="20">
        <f>Clean_Data!F223</f>
        <v>2.8079999999999998</v>
      </c>
      <c r="F225" s="21">
        <f>Clean_Data!G223</f>
        <v>125681593</v>
      </c>
    </row>
    <row r="226" spans="1:6" x14ac:dyDescent="0.3">
      <c r="A226" t="str">
        <f>Clean_Data!A224</f>
        <v>Japan</v>
      </c>
      <c r="B226">
        <f>Clean_Data!C224</f>
        <v>2022</v>
      </c>
      <c r="C226" s="19">
        <f>Clean_Data!D224</f>
        <v>35548.264522243298</v>
      </c>
      <c r="D226" s="19">
        <f>Clean_Data!E224</f>
        <v>2.4977027817225399</v>
      </c>
      <c r="E226" s="20">
        <f>Clean_Data!F224</f>
        <v>2.6139999999999999</v>
      </c>
      <c r="F226" s="21">
        <f>Clean_Data!G224</f>
        <v>125124989</v>
      </c>
    </row>
    <row r="227" spans="1:6" x14ac:dyDescent="0.3">
      <c r="A227" t="str">
        <f>Clean_Data!A225</f>
        <v>Japan</v>
      </c>
      <c r="B227">
        <f>Clean_Data!C225</f>
        <v>2023</v>
      </c>
      <c r="C227" s="19">
        <f>Clean_Data!D225</f>
        <v>35215.003535365977</v>
      </c>
      <c r="D227" s="19">
        <f>Clean_Data!E225</f>
        <v>3.2681336593316299</v>
      </c>
      <c r="E227" s="20">
        <f>Clean_Data!F225</f>
        <v>2.6</v>
      </c>
      <c r="F227" s="21">
        <f>Clean_Data!G225</f>
        <v>124516650</v>
      </c>
    </row>
    <row r="228" spans="1:6" x14ac:dyDescent="0.3">
      <c r="A228" t="str">
        <f>Clean_Data!A226</f>
        <v>Japan</v>
      </c>
      <c r="B228">
        <f>Clean_Data!C226</f>
        <v>2024</v>
      </c>
      <c r="C228" s="19">
        <f>Clean_Data!D226</f>
        <v>33797.10142878761</v>
      </c>
      <c r="D228" s="19">
        <f>Clean_Data!E226</f>
        <v>2.7385368163524002</v>
      </c>
      <c r="E228" s="20">
        <f>Clean_Data!F226</f>
        <v>2.5</v>
      </c>
      <c r="F228" s="21">
        <f>Clean_Data!G226</f>
        <v>123975371</v>
      </c>
    </row>
    <row r="229" spans="1:6" x14ac:dyDescent="0.3">
      <c r="A229" t="str">
        <f>Clean_Data!A227</f>
        <v>Netherlands</v>
      </c>
      <c r="B229">
        <f>Clean_Data!C227</f>
        <v>2000</v>
      </c>
      <c r="C229" s="19">
        <f>Clean_Data!D227</f>
        <v>26225.16977341492</v>
      </c>
      <c r="D229" s="19">
        <f>Clean_Data!E227</f>
        <v>2.3605242578350598</v>
      </c>
      <c r="E229" s="20">
        <f>Clean_Data!F227</f>
        <v>2.7250000000000001</v>
      </c>
      <c r="F229" s="21">
        <f>Clean_Data!G227</f>
        <v>15925513</v>
      </c>
    </row>
    <row r="230" spans="1:6" x14ac:dyDescent="0.3">
      <c r="A230" t="str">
        <f>Clean_Data!A228</f>
        <v>Netherlands</v>
      </c>
      <c r="B230">
        <f>Clean_Data!C228</f>
        <v>2001</v>
      </c>
      <c r="C230" s="19">
        <f>Clean_Data!D228</f>
        <v>26955.71280322782</v>
      </c>
      <c r="D230" s="19">
        <f>Clean_Data!E228</f>
        <v>4.15583998647742</v>
      </c>
      <c r="E230" s="20">
        <f>Clean_Data!F228</f>
        <v>2.1190000000000002</v>
      </c>
      <c r="F230" s="21">
        <f>Clean_Data!G228</f>
        <v>16046180</v>
      </c>
    </row>
    <row r="231" spans="1:6" x14ac:dyDescent="0.3">
      <c r="A231" t="str">
        <f>Clean_Data!A229</f>
        <v>Netherlands</v>
      </c>
      <c r="B231">
        <f>Clean_Data!C229</f>
        <v>2002</v>
      </c>
      <c r="C231" s="19">
        <f>Clean_Data!D229</f>
        <v>29446.53308728684</v>
      </c>
      <c r="D231" s="19">
        <f>Clean_Data!E229</f>
        <v>3.2875354185016201</v>
      </c>
      <c r="E231" s="20">
        <f>Clean_Data!F229</f>
        <v>2.5539999999999998</v>
      </c>
      <c r="F231" s="21">
        <f>Clean_Data!G229</f>
        <v>16148929</v>
      </c>
    </row>
    <row r="232" spans="1:6" x14ac:dyDescent="0.3">
      <c r="A232" t="str">
        <f>Clean_Data!A230</f>
        <v>Netherlands</v>
      </c>
      <c r="B232">
        <f>Clean_Data!C230</f>
        <v>2003</v>
      </c>
      <c r="C232" s="19">
        <f>Clean_Data!D230</f>
        <v>35896.750463070552</v>
      </c>
      <c r="D232" s="19">
        <f>Clean_Data!E230</f>
        <v>2.0919945670734901</v>
      </c>
      <c r="E232" s="20">
        <f>Clean_Data!F230</f>
        <v>3.593</v>
      </c>
      <c r="F232" s="21">
        <f>Clean_Data!G230</f>
        <v>16225302</v>
      </c>
    </row>
    <row r="233" spans="1:6" x14ac:dyDescent="0.3">
      <c r="A233" t="str">
        <f>Clean_Data!A231</f>
        <v>Netherlands</v>
      </c>
      <c r="B233">
        <f>Clean_Data!C231</f>
        <v>2004</v>
      </c>
      <c r="C233" s="19">
        <f>Clean_Data!D231</f>
        <v>40611.341435309063</v>
      </c>
      <c r="D233" s="19">
        <f>Clean_Data!E231</f>
        <v>1.2636479497031301</v>
      </c>
      <c r="E233" s="20">
        <f>Clean_Data!F231</f>
        <v>4.6459999999999999</v>
      </c>
      <c r="F233" s="21">
        <f>Clean_Data!G231</f>
        <v>16281779</v>
      </c>
    </row>
    <row r="234" spans="1:6" x14ac:dyDescent="0.3">
      <c r="A234" t="str">
        <f>Clean_Data!A232</f>
        <v>Netherlands</v>
      </c>
      <c r="B234">
        <f>Clean_Data!C232</f>
        <v>2005</v>
      </c>
      <c r="C234" s="19">
        <f>Clean_Data!D232</f>
        <v>42165.396168387968</v>
      </c>
      <c r="D234" s="19">
        <f>Clean_Data!E232</f>
        <v>1.6881313636312101</v>
      </c>
      <c r="E234" s="20">
        <f>Clean_Data!F232</f>
        <v>5.8719999999999999</v>
      </c>
      <c r="F234" s="21">
        <f>Clean_Data!G232</f>
        <v>16319868</v>
      </c>
    </row>
    <row r="235" spans="1:6" x14ac:dyDescent="0.3">
      <c r="A235" t="str">
        <f>Clean_Data!A233</f>
        <v>Netherlands</v>
      </c>
      <c r="B235">
        <f>Clean_Data!C233</f>
        <v>2006</v>
      </c>
      <c r="C235" s="19">
        <f>Clean_Data!D233</f>
        <v>45123.543240642568</v>
      </c>
      <c r="D235" s="19">
        <f>Clean_Data!E233</f>
        <v>1.10150138046139</v>
      </c>
      <c r="E235" s="20">
        <f>Clean_Data!F233</f>
        <v>5.0069999999999997</v>
      </c>
      <c r="F235" s="21">
        <f>Clean_Data!G233</f>
        <v>16346101</v>
      </c>
    </row>
    <row r="236" spans="1:6" x14ac:dyDescent="0.3">
      <c r="A236" t="str">
        <f>Clean_Data!A234</f>
        <v>Netherlands</v>
      </c>
      <c r="B236">
        <f>Clean_Data!C234</f>
        <v>2007</v>
      </c>
      <c r="C236" s="19">
        <f>Clean_Data!D234</f>
        <v>52100.79962859473</v>
      </c>
      <c r="D236" s="19">
        <f>Clean_Data!E234</f>
        <v>1.6138561707203101</v>
      </c>
      <c r="E236" s="20">
        <f>Clean_Data!F234</f>
        <v>4.1529999999999996</v>
      </c>
      <c r="F236" s="21">
        <f>Clean_Data!G234</f>
        <v>16381696</v>
      </c>
    </row>
    <row r="237" spans="1:6" x14ac:dyDescent="0.3">
      <c r="A237" t="str">
        <f>Clean_Data!A235</f>
        <v>Netherlands</v>
      </c>
      <c r="B237">
        <f>Clean_Data!C235</f>
        <v>2008</v>
      </c>
      <c r="C237" s="19">
        <f>Clean_Data!D235</f>
        <v>58246.702690587445</v>
      </c>
      <c r="D237" s="19">
        <f>Clean_Data!E235</f>
        <v>2.48650272563403</v>
      </c>
      <c r="E237" s="20">
        <f>Clean_Data!F235</f>
        <v>3.6579999999999999</v>
      </c>
      <c r="F237" s="21">
        <f>Clean_Data!G235</f>
        <v>16445593</v>
      </c>
    </row>
    <row r="238" spans="1:6" x14ac:dyDescent="0.3">
      <c r="A238" t="str">
        <f>Clean_Data!A236</f>
        <v>Netherlands</v>
      </c>
      <c r="B238">
        <f>Clean_Data!C236</f>
        <v>2009</v>
      </c>
      <c r="C238" s="19">
        <f>Clean_Data!D236</f>
        <v>53172.026158141831</v>
      </c>
      <c r="D238" s="19">
        <f>Clean_Data!E236</f>
        <v>1.1897753827351001</v>
      </c>
      <c r="E238" s="20">
        <f>Clean_Data!F236</f>
        <v>4.3520000000000003</v>
      </c>
      <c r="F238" s="21">
        <f>Clean_Data!G236</f>
        <v>16530388</v>
      </c>
    </row>
    <row r="239" spans="1:6" x14ac:dyDescent="0.3">
      <c r="A239" t="str">
        <f>Clean_Data!A237</f>
        <v>Netherlands</v>
      </c>
      <c r="B239">
        <f>Clean_Data!C237</f>
        <v>2010</v>
      </c>
      <c r="C239" s="19">
        <f>Clean_Data!D237</f>
        <v>51305.733853397338</v>
      </c>
      <c r="D239" s="19">
        <f>Clean_Data!E237</f>
        <v>1.2745772741866299</v>
      </c>
      <c r="E239" s="20">
        <f>Clean_Data!F237</f>
        <v>4.9909999999999997</v>
      </c>
      <c r="F239" s="21">
        <f>Clean_Data!G237</f>
        <v>16615394</v>
      </c>
    </row>
    <row r="240" spans="1:6" x14ac:dyDescent="0.3">
      <c r="A240" t="str">
        <f>Clean_Data!A238</f>
        <v>Netherlands</v>
      </c>
      <c r="B240">
        <f>Clean_Data!C238</f>
        <v>2011</v>
      </c>
      <c r="C240" s="19">
        <f>Clean_Data!D238</f>
        <v>54701.772803061118</v>
      </c>
      <c r="D240" s="19">
        <f>Clean_Data!E238</f>
        <v>2.3420865862313298</v>
      </c>
      <c r="E240" s="20">
        <f>Clean_Data!F238</f>
        <v>4.9770000000000003</v>
      </c>
      <c r="F240" s="21">
        <f>Clean_Data!G238</f>
        <v>16693074</v>
      </c>
    </row>
    <row r="241" spans="1:6" x14ac:dyDescent="0.3">
      <c r="A241" t="str">
        <f>Clean_Data!A239</f>
        <v>Netherlands</v>
      </c>
      <c r="B241">
        <f>Clean_Data!C239</f>
        <v>2012</v>
      </c>
      <c r="C241" s="19">
        <f>Clean_Data!D239</f>
        <v>50473.944200268867</v>
      </c>
      <c r="D241" s="19">
        <f>Clean_Data!E239</f>
        <v>2.4558802429575799</v>
      </c>
      <c r="E241" s="20">
        <f>Clean_Data!F239</f>
        <v>5.8209999999999997</v>
      </c>
      <c r="F241" s="21">
        <f>Clean_Data!G239</f>
        <v>16754962</v>
      </c>
    </row>
    <row r="242" spans="1:6" x14ac:dyDescent="0.3">
      <c r="A242" t="str">
        <f>Clean_Data!A240</f>
        <v>Netherlands</v>
      </c>
      <c r="B242">
        <f>Clean_Data!C240</f>
        <v>2013</v>
      </c>
      <c r="C242" s="19">
        <f>Clean_Data!D240</f>
        <v>52602.286052076568</v>
      </c>
      <c r="D242" s="19">
        <f>Clean_Data!E240</f>
        <v>2.5113782238300901</v>
      </c>
      <c r="E242" s="20">
        <f>Clean_Data!F240</f>
        <v>7.2409999999999997</v>
      </c>
      <c r="F242" s="21">
        <f>Clean_Data!G240</f>
        <v>16804432</v>
      </c>
    </row>
    <row r="243" spans="1:6" x14ac:dyDescent="0.3">
      <c r="A243" t="str">
        <f>Clean_Data!A241</f>
        <v>Netherlands</v>
      </c>
      <c r="B243">
        <f>Clean_Data!C241</f>
        <v>2014</v>
      </c>
      <c r="C243" s="19">
        <f>Clean_Data!D241</f>
        <v>53457.223486432231</v>
      </c>
      <c r="D243" s="19">
        <f>Clean_Data!E241</f>
        <v>0.97106167892349704</v>
      </c>
      <c r="E243" s="20">
        <f>Clean_Data!F241</f>
        <v>7.4189999999999996</v>
      </c>
      <c r="F243" s="21">
        <f>Clean_Data!G241</f>
        <v>16865008</v>
      </c>
    </row>
    <row r="244" spans="1:6" x14ac:dyDescent="0.3">
      <c r="A244" t="str">
        <f>Clean_Data!A242</f>
        <v>Netherlands</v>
      </c>
      <c r="B244">
        <f>Clean_Data!C242</f>
        <v>2015</v>
      </c>
      <c r="C244" s="19">
        <f>Clean_Data!D242</f>
        <v>45793.813543469711</v>
      </c>
      <c r="D244" s="19">
        <f>Clean_Data!E242</f>
        <v>0.60093579119456897</v>
      </c>
      <c r="E244" s="20">
        <f>Clean_Data!F242</f>
        <v>6.8719999999999999</v>
      </c>
      <c r="F244" s="21">
        <f>Clean_Data!G242</f>
        <v>16939923</v>
      </c>
    </row>
    <row r="245" spans="1:6" x14ac:dyDescent="0.3">
      <c r="A245" t="str">
        <f>Clean_Data!A243</f>
        <v>Netherlands</v>
      </c>
      <c r="B245">
        <f>Clean_Data!C243</f>
        <v>2016</v>
      </c>
      <c r="C245" s="19">
        <f>Clean_Data!D243</f>
        <v>46808.529149250287</v>
      </c>
      <c r="D245" s="19">
        <f>Clean_Data!E243</f>
        <v>0.319406464338503</v>
      </c>
      <c r="E245" s="20">
        <f>Clean_Data!F243</f>
        <v>6.0069999999999997</v>
      </c>
      <c r="F245" s="21">
        <f>Clean_Data!G243</f>
        <v>17030314</v>
      </c>
    </row>
    <row r="246" spans="1:6" x14ac:dyDescent="0.3">
      <c r="A246" t="str">
        <f>Clean_Data!A244</f>
        <v>Netherlands</v>
      </c>
      <c r="B246">
        <f>Clean_Data!C244</f>
        <v>2017</v>
      </c>
      <c r="C246" s="19">
        <f>Clean_Data!D244</f>
        <v>49513.681734638398</v>
      </c>
      <c r="D246" s="19">
        <f>Clean_Data!E244</f>
        <v>1.3796878665669401</v>
      </c>
      <c r="E246" s="20">
        <f>Clean_Data!F244</f>
        <v>4.8369999999999997</v>
      </c>
      <c r="F246" s="21">
        <f>Clean_Data!G244</f>
        <v>17131296</v>
      </c>
    </row>
    <row r="247" spans="1:6" x14ac:dyDescent="0.3">
      <c r="A247" t="str">
        <f>Clean_Data!A245</f>
        <v>Netherlands</v>
      </c>
      <c r="B247">
        <f>Clean_Data!C245</f>
        <v>2018</v>
      </c>
      <c r="C247" s="19">
        <f>Clean_Data!D245</f>
        <v>53955.077002426588</v>
      </c>
      <c r="D247" s="19">
        <f>Clean_Data!E245</f>
        <v>1.7036188125357901</v>
      </c>
      <c r="E247" s="20">
        <f>Clean_Data!F245</f>
        <v>3.8319999999999999</v>
      </c>
      <c r="F247" s="21">
        <f>Clean_Data!G245</f>
        <v>17231624</v>
      </c>
    </row>
    <row r="248" spans="1:6" x14ac:dyDescent="0.3">
      <c r="A248" t="str">
        <f>Clean_Data!A246</f>
        <v>Netherlands</v>
      </c>
      <c r="B248">
        <f>Clean_Data!C246</f>
        <v>2019</v>
      </c>
      <c r="C248" s="19">
        <f>Clean_Data!D246</f>
        <v>53554.900749147506</v>
      </c>
      <c r="D248" s="19">
        <f>Clean_Data!E246</f>
        <v>2.6339740394825402</v>
      </c>
      <c r="E248" s="20">
        <f>Clean_Data!F246</f>
        <v>3.379</v>
      </c>
      <c r="F248" s="21">
        <f>Clean_Data!G246</f>
        <v>17344874</v>
      </c>
    </row>
    <row r="249" spans="1:6" x14ac:dyDescent="0.3">
      <c r="A249" t="str">
        <f>Clean_Data!A247</f>
        <v>Netherlands</v>
      </c>
      <c r="B249">
        <f>Clean_Data!C247</f>
        <v>2020</v>
      </c>
      <c r="C249" s="19">
        <f>Clean_Data!D247</f>
        <v>53467.927741373729</v>
      </c>
      <c r="D249" s="19">
        <f>Clean_Data!E247</f>
        <v>1.26788070731057</v>
      </c>
      <c r="E249" s="20">
        <f>Clean_Data!F247</f>
        <v>3.82</v>
      </c>
      <c r="F249" s="21">
        <f>Clean_Data!G247</f>
        <v>17441500</v>
      </c>
    </row>
    <row r="250" spans="1:6" x14ac:dyDescent="0.3">
      <c r="A250" t="str">
        <f>Clean_Data!A248</f>
        <v>Netherlands</v>
      </c>
      <c r="B250">
        <f>Clean_Data!C248</f>
        <v>2021</v>
      </c>
      <c r="C250" s="19">
        <f>Clean_Data!D248</f>
        <v>60141.988091149229</v>
      </c>
      <c r="D250" s="19">
        <f>Clean_Data!E248</f>
        <v>2.68123345078501</v>
      </c>
      <c r="E250" s="20">
        <f>Clean_Data!F248</f>
        <v>4.2089999999999996</v>
      </c>
      <c r="F250" s="21">
        <f>Clean_Data!G248</f>
        <v>17533044</v>
      </c>
    </row>
    <row r="251" spans="1:6" x14ac:dyDescent="0.3">
      <c r="A251" t="str">
        <f>Clean_Data!A249</f>
        <v>Netherlands</v>
      </c>
      <c r="B251">
        <f>Clean_Data!C249</f>
        <v>2022</v>
      </c>
      <c r="C251" s="19">
        <f>Clean_Data!D249</f>
        <v>59123.318556486993</v>
      </c>
      <c r="D251" s="19">
        <f>Clean_Data!E249</f>
        <v>9.9981725517268707</v>
      </c>
      <c r="E251" s="20">
        <f>Clean_Data!F249</f>
        <v>3.5259999999999998</v>
      </c>
      <c r="F251" s="21">
        <f>Clean_Data!G249</f>
        <v>17700982</v>
      </c>
    </row>
    <row r="252" spans="1:6" x14ac:dyDescent="0.3">
      <c r="A252" t="str">
        <f>Clean_Data!A250</f>
        <v>Netherlands</v>
      </c>
      <c r="B252">
        <f>Clean_Data!C250</f>
        <v>2023</v>
      </c>
      <c r="C252" s="19">
        <f>Clean_Data!D250</f>
        <v>63515.603078001921</v>
      </c>
      <c r="D252" s="19">
        <f>Clean_Data!E250</f>
        <v>3.8423199748953198</v>
      </c>
      <c r="E252" s="20">
        <f>Clean_Data!F250</f>
        <v>3.5350000000000001</v>
      </c>
      <c r="F252" s="21">
        <f>Clean_Data!G250</f>
        <v>17877117</v>
      </c>
    </row>
    <row r="253" spans="1:6" x14ac:dyDescent="0.3">
      <c r="A253" t="str">
        <f>Clean_Data!A251</f>
        <v>Netherlands</v>
      </c>
      <c r="B253">
        <f>Clean_Data!C251</f>
        <v>2024</v>
      </c>
      <c r="C253" s="19">
        <f>Clean_Data!D251</f>
        <v>67465.32081268754</v>
      </c>
      <c r="D253" s="19">
        <f>Clean_Data!E251</f>
        <v>3.3463989547502502</v>
      </c>
      <c r="E253" s="20">
        <f>Clean_Data!F251</f>
        <v>3.7</v>
      </c>
      <c r="F253" s="21">
        <f>Clean_Data!G251</f>
        <v>17993485</v>
      </c>
    </row>
    <row r="254" spans="1:6" x14ac:dyDescent="0.3">
      <c r="A254" t="str">
        <f>Clean_Data!A252</f>
        <v>Russian Federation</v>
      </c>
      <c r="B254">
        <f>Clean_Data!C252</f>
        <v>2000</v>
      </c>
      <c r="C254" s="19">
        <f>Clean_Data!D252</f>
        <v>1771.59411621094</v>
      </c>
      <c r="D254" s="19">
        <f>Clean_Data!E252</f>
        <v>20.798760655870399</v>
      </c>
      <c r="E254" s="20">
        <f>Clean_Data!F252</f>
        <v>10.581</v>
      </c>
      <c r="F254" s="21">
        <f>Clean_Data!G252</f>
        <v>146596869</v>
      </c>
    </row>
    <row r="255" spans="1:6" x14ac:dyDescent="0.3">
      <c r="A255" t="str">
        <f>Clean_Data!A253</f>
        <v>Russian Federation</v>
      </c>
      <c r="B255">
        <f>Clean_Data!C253</f>
        <v>2001</v>
      </c>
      <c r="C255" s="19">
        <f>Clean_Data!D253</f>
        <v>2100.3525390625</v>
      </c>
      <c r="D255" s="19">
        <f>Clean_Data!E253</f>
        <v>21.477007211715801</v>
      </c>
      <c r="E255" s="20">
        <f>Clean_Data!F253</f>
        <v>8.9779999999999998</v>
      </c>
      <c r="F255" s="21">
        <f>Clean_Data!G253</f>
        <v>145976482</v>
      </c>
    </row>
    <row r="256" spans="1:6" x14ac:dyDescent="0.3">
      <c r="A256" t="str">
        <f>Clean_Data!A254</f>
        <v>Russian Federation</v>
      </c>
      <c r="B256">
        <f>Clean_Data!C254</f>
        <v>2002</v>
      </c>
      <c r="C256" s="19">
        <f>Clean_Data!D254</f>
        <v>2377.52954101563</v>
      </c>
      <c r="D256" s="19">
        <f>Clean_Data!E254</f>
        <v>15.7887307914462</v>
      </c>
      <c r="E256" s="20">
        <f>Clean_Data!F254</f>
        <v>7.875</v>
      </c>
      <c r="F256" s="21">
        <f>Clean_Data!G254</f>
        <v>145306497</v>
      </c>
    </row>
    <row r="257" spans="1:6" x14ac:dyDescent="0.3">
      <c r="A257" t="str">
        <f>Clean_Data!A255</f>
        <v>Russian Federation</v>
      </c>
      <c r="B257">
        <f>Clean_Data!C255</f>
        <v>2003</v>
      </c>
      <c r="C257" s="19">
        <f>Clean_Data!D255</f>
        <v>2975.123046875</v>
      </c>
      <c r="D257" s="19">
        <f>Clean_Data!E255</f>
        <v>13.663293022866499</v>
      </c>
      <c r="E257" s="20">
        <f>Clean_Data!F255</f>
        <v>8.2100000000000009</v>
      </c>
      <c r="F257" s="21">
        <f>Clean_Data!G255</f>
        <v>144648618</v>
      </c>
    </row>
    <row r="258" spans="1:6" x14ac:dyDescent="0.3">
      <c r="A258" t="str">
        <f>Clean_Data!A256</f>
        <v>Russian Federation</v>
      </c>
      <c r="B258">
        <f>Clean_Data!C256</f>
        <v>2004</v>
      </c>
      <c r="C258" s="19">
        <f>Clean_Data!D256</f>
        <v>4102.36474609375</v>
      </c>
      <c r="D258" s="19">
        <f>Clean_Data!E256</f>
        <v>10.888615732621499</v>
      </c>
      <c r="E258" s="20">
        <f>Clean_Data!F256</f>
        <v>7.7629999999999999</v>
      </c>
      <c r="F258" s="21">
        <f>Clean_Data!G256</f>
        <v>144067316</v>
      </c>
    </row>
    <row r="259" spans="1:6" x14ac:dyDescent="0.3">
      <c r="A259" t="str">
        <f>Clean_Data!A257</f>
        <v>Russian Federation</v>
      </c>
      <c r="B259">
        <f>Clean_Data!C257</f>
        <v>2005</v>
      </c>
      <c r="C259" s="19">
        <f>Clean_Data!D257</f>
        <v>5323.455078125</v>
      </c>
      <c r="D259" s="19">
        <f>Clean_Data!E257</f>
        <v>12.6853039507349</v>
      </c>
      <c r="E259" s="20">
        <f>Clean_Data!F257</f>
        <v>7.1239999999999997</v>
      </c>
      <c r="F259" s="21">
        <f>Clean_Data!G257</f>
        <v>143518814</v>
      </c>
    </row>
    <row r="260" spans="1:6" x14ac:dyDescent="0.3">
      <c r="A260" t="str">
        <f>Clean_Data!A258</f>
        <v>Russian Federation</v>
      </c>
      <c r="B260">
        <f>Clean_Data!C258</f>
        <v>2006</v>
      </c>
      <c r="C260" s="19">
        <f>Clean_Data!D258</f>
        <v>6920.19970703125</v>
      </c>
      <c r="D260" s="19">
        <f>Clean_Data!E258</f>
        <v>9.6686545478926398</v>
      </c>
      <c r="E260" s="20">
        <f>Clean_Data!F258</f>
        <v>7.0549999999999997</v>
      </c>
      <c r="F260" s="21">
        <f>Clean_Data!G258</f>
        <v>143049637</v>
      </c>
    </row>
    <row r="261" spans="1:6" x14ac:dyDescent="0.3">
      <c r="A261" t="str">
        <f>Clean_Data!A259</f>
        <v>Russian Federation</v>
      </c>
      <c r="B261">
        <f>Clean_Data!C259</f>
        <v>2007</v>
      </c>
      <c r="C261" s="19">
        <f>Clean_Data!D259</f>
        <v>9101.2392578125</v>
      </c>
      <c r="D261" s="19">
        <f>Clean_Data!E259</f>
        <v>9.0072986886107902</v>
      </c>
      <c r="E261" s="20">
        <f>Clean_Data!F259</f>
        <v>6.0019999999999998</v>
      </c>
      <c r="F261" s="21">
        <f>Clean_Data!G259</f>
        <v>142805114</v>
      </c>
    </row>
    <row r="262" spans="1:6" x14ac:dyDescent="0.3">
      <c r="A262" t="str">
        <f>Clean_Data!A260</f>
        <v>Russian Federation</v>
      </c>
      <c r="B262">
        <f>Clean_Data!C260</f>
        <v>2008</v>
      </c>
      <c r="C262" s="19">
        <f>Clean_Data!D260</f>
        <v>11635.2841796875</v>
      </c>
      <c r="D262" s="19">
        <f>Clean_Data!E260</f>
        <v>14.110767784044199</v>
      </c>
      <c r="E262" s="20">
        <f>Clean_Data!F260</f>
        <v>6.2050000000000001</v>
      </c>
      <c r="F262" s="21">
        <f>Clean_Data!G260</f>
        <v>142742366</v>
      </c>
    </row>
    <row r="263" spans="1:6" x14ac:dyDescent="0.3">
      <c r="A263" t="str">
        <f>Clean_Data!A261</f>
        <v>Russian Federation</v>
      </c>
      <c r="B263">
        <f>Clean_Data!C261</f>
        <v>2009</v>
      </c>
      <c r="C263" s="19">
        <f>Clean_Data!D261</f>
        <v>8562.82421875</v>
      </c>
      <c r="D263" s="19">
        <f>Clean_Data!E261</f>
        <v>11.6473295764117</v>
      </c>
      <c r="E263" s="20">
        <f>Clean_Data!F261</f>
        <v>8.3010000000000002</v>
      </c>
      <c r="F263" s="21">
        <f>Clean_Data!G261</f>
        <v>142785348</v>
      </c>
    </row>
    <row r="264" spans="1:6" x14ac:dyDescent="0.3">
      <c r="A264" t="str">
        <f>Clean_Data!A262</f>
        <v>Russian Federation</v>
      </c>
      <c r="B264">
        <f>Clean_Data!C262</f>
        <v>2010</v>
      </c>
      <c r="C264" s="19">
        <f>Clean_Data!D262</f>
        <v>10674.990234375</v>
      </c>
      <c r="D264" s="19">
        <f>Clean_Data!E262</f>
        <v>6.8493923025502399</v>
      </c>
      <c r="E264" s="20">
        <f>Clean_Data!F262</f>
        <v>7.407</v>
      </c>
      <c r="F264" s="21">
        <f>Clean_Data!G262</f>
        <v>142849468</v>
      </c>
    </row>
    <row r="265" spans="1:6" x14ac:dyDescent="0.3">
      <c r="A265" t="str">
        <f>Clean_Data!A263</f>
        <v>Russian Federation</v>
      </c>
      <c r="B265">
        <f>Clean_Data!C263</f>
        <v>2011</v>
      </c>
      <c r="C265" s="19">
        <f>Clean_Data!D263</f>
        <v>14305.33203125</v>
      </c>
      <c r="D265" s="19">
        <f>Clean_Data!E263</f>
        <v>8.4404648593257008</v>
      </c>
      <c r="E265" s="20">
        <f>Clean_Data!F263</f>
        <v>6.5709999999999997</v>
      </c>
      <c r="F265" s="21">
        <f>Clean_Data!G263</f>
        <v>143018195</v>
      </c>
    </row>
    <row r="266" spans="1:6" x14ac:dyDescent="0.3">
      <c r="A266" t="str">
        <f>Clean_Data!A264</f>
        <v>Russian Federation</v>
      </c>
      <c r="B266">
        <f>Clean_Data!C264</f>
        <v>2012</v>
      </c>
      <c r="C266" s="19">
        <f>Clean_Data!D264</f>
        <v>15401.8515625</v>
      </c>
      <c r="D266" s="19">
        <f>Clean_Data!E264</f>
        <v>5.0747430079914899</v>
      </c>
      <c r="E266" s="20">
        <f>Clean_Data!F264</f>
        <v>5.484</v>
      </c>
      <c r="F266" s="21">
        <f>Clean_Data!G264</f>
        <v>143378447</v>
      </c>
    </row>
    <row r="267" spans="1:6" x14ac:dyDescent="0.3">
      <c r="A267" t="str">
        <f>Clean_Data!A265</f>
        <v>Russian Federation</v>
      </c>
      <c r="B267">
        <f>Clean_Data!C265</f>
        <v>2013</v>
      </c>
      <c r="C267" s="19">
        <f>Clean_Data!D265</f>
        <v>15941.4482421875</v>
      </c>
      <c r="D267" s="19">
        <f>Clean_Data!E265</f>
        <v>6.7546683390348603</v>
      </c>
      <c r="E267" s="20">
        <f>Clean_Data!F265</f>
        <v>5.5129999999999999</v>
      </c>
      <c r="F267" s="21">
        <f>Clean_Data!G265</f>
        <v>143805638</v>
      </c>
    </row>
    <row r="268" spans="1:6" x14ac:dyDescent="0.3">
      <c r="A268" t="str">
        <f>Clean_Data!A266</f>
        <v>Russian Federation</v>
      </c>
      <c r="B268">
        <f>Clean_Data!C266</f>
        <v>2014</v>
      </c>
      <c r="C268" s="19">
        <f>Clean_Data!D266</f>
        <v>14055.47265625</v>
      </c>
      <c r="D268" s="19">
        <f>Clean_Data!E266</f>
        <v>7.8201697001384396</v>
      </c>
      <c r="E268" s="20">
        <f>Clean_Data!F266</f>
        <v>5.2119999999999997</v>
      </c>
      <c r="F268" s="21">
        <f>Clean_Data!G266</f>
        <v>144237223</v>
      </c>
    </row>
    <row r="269" spans="1:6" x14ac:dyDescent="0.3">
      <c r="A269" t="str">
        <f>Clean_Data!A267</f>
        <v>Russian Federation</v>
      </c>
      <c r="B269">
        <f>Clean_Data!C267</f>
        <v>2015</v>
      </c>
      <c r="C269" s="19">
        <f>Clean_Data!D267</f>
        <v>9277.7138671875</v>
      </c>
      <c r="D269" s="19">
        <f>Clean_Data!E267</f>
        <v>15.534395993570101</v>
      </c>
      <c r="E269" s="20">
        <f>Clean_Data!F267</f>
        <v>5.6150000000000002</v>
      </c>
      <c r="F269" s="21">
        <f>Clean_Data!G267</f>
        <v>144640716</v>
      </c>
    </row>
    <row r="270" spans="1:6" x14ac:dyDescent="0.3">
      <c r="A270" t="str">
        <f>Clean_Data!A268</f>
        <v>Russian Federation</v>
      </c>
      <c r="B270">
        <f>Clean_Data!C268</f>
        <v>2016</v>
      </c>
      <c r="C270" s="19">
        <f>Clean_Data!D268</f>
        <v>8663.158203125</v>
      </c>
      <c r="D270" s="19">
        <f>Clean_Data!E268</f>
        <v>7.0424372541370701</v>
      </c>
      <c r="E270" s="20">
        <f>Clean_Data!F268</f>
        <v>5.5910000000000002</v>
      </c>
      <c r="F270" s="21">
        <f>Clean_Data!G268</f>
        <v>145015460</v>
      </c>
    </row>
    <row r="271" spans="1:6" x14ac:dyDescent="0.3">
      <c r="A271" t="str">
        <f>Clean_Data!A269</f>
        <v>Russian Federation</v>
      </c>
      <c r="B271">
        <f>Clean_Data!C269</f>
        <v>2017</v>
      </c>
      <c r="C271" s="19">
        <f>Clean_Data!D269</f>
        <v>10658.9130859375</v>
      </c>
      <c r="D271" s="19">
        <f>Clean_Data!E269</f>
        <v>3.6833307233449499</v>
      </c>
      <c r="E271" s="20">
        <f>Clean_Data!F269</f>
        <v>5.2380000000000004</v>
      </c>
      <c r="F271" s="21">
        <f>Clean_Data!G269</f>
        <v>145293260</v>
      </c>
    </row>
    <row r="272" spans="1:6" x14ac:dyDescent="0.3">
      <c r="A272" t="str">
        <f>Clean_Data!A270</f>
        <v>Russian Federation</v>
      </c>
      <c r="B272">
        <f>Clean_Data!C270</f>
        <v>2018</v>
      </c>
      <c r="C272" s="19">
        <f>Clean_Data!D270</f>
        <v>11211.8876953125</v>
      </c>
      <c r="D272" s="19">
        <f>Clean_Data!E270</f>
        <v>2.8783138261498</v>
      </c>
      <c r="E272" s="20">
        <f>Clean_Data!F270</f>
        <v>4.8710000000000004</v>
      </c>
      <c r="F272" s="21">
        <f>Clean_Data!G270</f>
        <v>145398106</v>
      </c>
    </row>
    <row r="273" spans="1:6" x14ac:dyDescent="0.3">
      <c r="A273" t="str">
        <f>Clean_Data!A271</f>
        <v>Russian Federation</v>
      </c>
      <c r="B273">
        <f>Clean_Data!C271</f>
        <v>2019</v>
      </c>
      <c r="C273" s="19">
        <f>Clean_Data!D271</f>
        <v>11447.701171875</v>
      </c>
      <c r="D273" s="19">
        <f>Clean_Data!E271</f>
        <v>4.4720263183790303</v>
      </c>
      <c r="E273" s="20">
        <f>Clean_Data!F271</f>
        <v>4.5129999999999999</v>
      </c>
      <c r="F273" s="21">
        <f>Clean_Data!G271</f>
        <v>145453291</v>
      </c>
    </row>
    <row r="274" spans="1:6" x14ac:dyDescent="0.3">
      <c r="A274" t="str">
        <f>Clean_Data!A272</f>
        <v>Russian Federation</v>
      </c>
      <c r="B274">
        <f>Clean_Data!C272</f>
        <v>2020</v>
      </c>
      <c r="C274" s="19">
        <f>Clean_Data!D272</f>
        <v>10108.3271484375</v>
      </c>
      <c r="D274" s="19">
        <f>Clean_Data!E272</f>
        <v>3.3821979694806701</v>
      </c>
      <c r="E274" s="20">
        <f>Clean_Data!F272</f>
        <v>5.62</v>
      </c>
      <c r="F274" s="21">
        <f>Clean_Data!G272</f>
        <v>145245148</v>
      </c>
    </row>
    <row r="275" spans="1:6" x14ac:dyDescent="0.3">
      <c r="A275" t="str">
        <f>Clean_Data!A273</f>
        <v>Russian Federation</v>
      </c>
      <c r="B275">
        <f>Clean_Data!C273</f>
        <v>2021</v>
      </c>
      <c r="C275" s="19">
        <f>Clean_Data!D273</f>
        <v>12425.029296875</v>
      </c>
      <c r="D275" s="19">
        <f>Clean_Data!E273</f>
        <v>6.6944589195761202</v>
      </c>
      <c r="E275" s="20">
        <f>Clean_Data!F273</f>
        <v>4.7489999999999997</v>
      </c>
      <c r="F275" s="21">
        <f>Clean_Data!G273</f>
        <v>144746762</v>
      </c>
    </row>
    <row r="276" spans="1:6" x14ac:dyDescent="0.3">
      <c r="A276" t="str">
        <f>Clean_Data!A274</f>
        <v>Russian Federation</v>
      </c>
      <c r="B276">
        <f>Clean_Data!C274</f>
        <v>2022</v>
      </c>
      <c r="C276" s="19">
        <f>Clean_Data!D274</f>
        <v>15625.6328125</v>
      </c>
      <c r="D276" s="19">
        <f>Clean_Data!E274</f>
        <v>13.743679739823101</v>
      </c>
      <c r="E276" s="20">
        <f>Clean_Data!F274</f>
        <v>3.867</v>
      </c>
      <c r="F276" s="21">
        <f>Clean_Data!G274</f>
        <v>144236933</v>
      </c>
    </row>
    <row r="277" spans="1:6" x14ac:dyDescent="0.3">
      <c r="A277" t="str">
        <f>Clean_Data!A275</f>
        <v>Russian Federation</v>
      </c>
      <c r="B277">
        <f>Clean_Data!C275</f>
        <v>2023</v>
      </c>
      <c r="C277" s="19">
        <f>Clean_Data!D275</f>
        <v>13986.9951171875</v>
      </c>
      <c r="D277" s="19">
        <f>Clean_Data!E275</f>
        <v>5.8657193174896696</v>
      </c>
      <c r="E277" s="20">
        <f>Clean_Data!F275</f>
        <v>3.0760000000000001</v>
      </c>
      <c r="F277" s="21">
        <f>Clean_Data!G275</f>
        <v>143826130</v>
      </c>
    </row>
    <row r="278" spans="1:6" x14ac:dyDescent="0.3">
      <c r="A278" t="str">
        <f>Clean_Data!A276</f>
        <v>Russian Federation</v>
      </c>
      <c r="B278">
        <f>Clean_Data!C276</f>
        <v>2024</v>
      </c>
      <c r="C278" s="19">
        <f>Clean_Data!D276</f>
        <v>14961.8974609375</v>
      </c>
      <c r="D278" s="19">
        <f>Clean_Data!E276</f>
        <v>8.4348641049672306</v>
      </c>
      <c r="E278" s="20">
        <f>Clean_Data!F276</f>
        <v>2.4300000000000002</v>
      </c>
      <c r="F278" s="21">
        <f>Clean_Data!G276</f>
        <v>143669648</v>
      </c>
    </row>
    <row r="279" spans="1:6" x14ac:dyDescent="0.3">
      <c r="A279" t="str">
        <f>Clean_Data!A277</f>
        <v>South Africa</v>
      </c>
      <c r="B279">
        <f>Clean_Data!C277</f>
        <v>2000</v>
      </c>
      <c r="C279" s="19">
        <f>Clean_Data!D277</f>
        <v>3217.8469344846712</v>
      </c>
      <c r="D279" s="19">
        <f>Clean_Data!E277</f>
        <v>5.3389591359982704</v>
      </c>
      <c r="E279" s="20">
        <f>Clean_Data!F277</f>
        <v>22.788</v>
      </c>
      <c r="F279" s="21">
        <f>Clean_Data!G277</f>
        <v>47159719</v>
      </c>
    </row>
    <row r="280" spans="1:6" x14ac:dyDescent="0.3">
      <c r="A280" t="str">
        <f>Clean_Data!A278</f>
        <v>South Africa</v>
      </c>
      <c r="B280">
        <f>Clean_Data!C278</f>
        <v>2001</v>
      </c>
      <c r="C280" s="19">
        <f>Clean_Data!D278</f>
        <v>2847.1519194590805</v>
      </c>
      <c r="D280" s="19">
        <f>Clean_Data!E278</f>
        <v>5.7018948304960801</v>
      </c>
      <c r="E280" s="20">
        <f>Clean_Data!F278</f>
        <v>22.652000000000001</v>
      </c>
      <c r="F280" s="21">
        <f>Clean_Data!G278</f>
        <v>47566800</v>
      </c>
    </row>
    <row r="281" spans="1:6" x14ac:dyDescent="0.3">
      <c r="A281" t="str">
        <f>Clean_Data!A279</f>
        <v>South Africa</v>
      </c>
      <c r="B281">
        <f>Clean_Data!C279</f>
        <v>2002</v>
      </c>
      <c r="C281" s="19">
        <f>Clean_Data!D279</f>
        <v>2688.2367603280636</v>
      </c>
      <c r="D281" s="19">
        <f>Clean_Data!E279</f>
        <v>9.4947137809959994</v>
      </c>
      <c r="E281" s="20">
        <f>Clean_Data!F279</f>
        <v>22.579000000000001</v>
      </c>
      <c r="F281" s="21">
        <f>Clean_Data!G279</f>
        <v>48019415</v>
      </c>
    </row>
    <row r="282" spans="1:6" x14ac:dyDescent="0.3">
      <c r="A282" t="str">
        <f>Clean_Data!A280</f>
        <v>South Africa</v>
      </c>
      <c r="B282">
        <f>Clean_Data!C280</f>
        <v>2003</v>
      </c>
      <c r="C282" s="19">
        <f>Clean_Data!D280</f>
        <v>4062.2175599378579</v>
      </c>
      <c r="D282" s="19">
        <f>Clean_Data!E280</f>
        <v>5.6794241406879902</v>
      </c>
      <c r="E282" s="20">
        <f>Clean_Data!F280</f>
        <v>22.678999999999998</v>
      </c>
      <c r="F282" s="21">
        <f>Clean_Data!G280</f>
        <v>48500348</v>
      </c>
    </row>
    <row r="283" spans="1:6" x14ac:dyDescent="0.3">
      <c r="A283" t="str">
        <f>Clean_Data!A281</f>
        <v>South Africa</v>
      </c>
      <c r="B283">
        <f>Clean_Data!C281</f>
        <v>2004</v>
      </c>
      <c r="C283" s="19">
        <f>Clean_Data!D281</f>
        <v>5221.4633373172119</v>
      </c>
      <c r="D283" s="19">
        <f>Clean_Data!E281</f>
        <v>-0.69203943785768596</v>
      </c>
      <c r="E283" s="20">
        <f>Clean_Data!F281</f>
        <v>22.567</v>
      </c>
      <c r="F283" s="21">
        <f>Clean_Data!G281</f>
        <v>48991421</v>
      </c>
    </row>
    <row r="284" spans="1:6" x14ac:dyDescent="0.3">
      <c r="A284" t="str">
        <f>Clean_Data!A282</f>
        <v>South Africa</v>
      </c>
      <c r="B284">
        <f>Clean_Data!C282</f>
        <v>2005</v>
      </c>
      <c r="C284" s="19">
        <f>Clean_Data!D282</f>
        <v>5836.876633251265</v>
      </c>
      <c r="D284" s="19">
        <f>Clean_Data!E282</f>
        <v>2.0628530822342701</v>
      </c>
      <c r="E284" s="20">
        <f>Clean_Data!F282</f>
        <v>22.472000000000001</v>
      </c>
      <c r="F284" s="21">
        <f>Clean_Data!G282</f>
        <v>49490033</v>
      </c>
    </row>
    <row r="285" spans="1:6" x14ac:dyDescent="0.3">
      <c r="A285" t="str">
        <f>Clean_Data!A283</f>
        <v>South Africa</v>
      </c>
      <c r="B285">
        <f>Clean_Data!C283</f>
        <v>2006</v>
      </c>
      <c r="C285" s="19">
        <f>Clean_Data!D283</f>
        <v>6077.3829338887572</v>
      </c>
      <c r="D285" s="19">
        <f>Clean_Data!E283</f>
        <v>3.2439076541922902</v>
      </c>
      <c r="E285" s="20">
        <f>Clean_Data!F283</f>
        <v>22.303999999999998</v>
      </c>
      <c r="F285" s="21">
        <f>Clean_Data!G283</f>
        <v>49998277</v>
      </c>
    </row>
    <row r="286" spans="1:6" x14ac:dyDescent="0.3">
      <c r="A286" t="str">
        <f>Clean_Data!A284</f>
        <v>South Africa</v>
      </c>
      <c r="B286">
        <f>Clean_Data!C284</f>
        <v>2007</v>
      </c>
      <c r="C286" s="19">
        <f>Clean_Data!D284</f>
        <v>6591.8553596056399</v>
      </c>
      <c r="D286" s="19">
        <f>Clean_Data!E284</f>
        <v>6.1778121480938699</v>
      </c>
      <c r="E286" s="20">
        <f>Clean_Data!F284</f>
        <v>22.26</v>
      </c>
      <c r="F286" s="21">
        <f>Clean_Data!G284</f>
        <v>50528584</v>
      </c>
    </row>
    <row r="287" spans="1:6" x14ac:dyDescent="0.3">
      <c r="A287" t="str">
        <f>Clean_Data!A285</f>
        <v>South Africa</v>
      </c>
      <c r="B287">
        <f>Clean_Data!C285</f>
        <v>2008</v>
      </c>
      <c r="C287" s="19">
        <f>Clean_Data!D285</f>
        <v>6184.7547432839883</v>
      </c>
      <c r="D287" s="19">
        <f>Clean_Data!E285</f>
        <v>9.9099845600546601</v>
      </c>
      <c r="E287" s="20">
        <f>Clean_Data!F285</f>
        <v>22.407</v>
      </c>
      <c r="F287" s="21">
        <f>Clean_Data!G285</f>
        <v>51114599</v>
      </c>
    </row>
    <row r="288" spans="1:6" x14ac:dyDescent="0.3">
      <c r="A288" t="str">
        <f>Clean_Data!A286</f>
        <v>South Africa</v>
      </c>
      <c r="B288">
        <f>Clean_Data!C286</f>
        <v>2009</v>
      </c>
      <c r="C288" s="19">
        <f>Clean_Data!D286</f>
        <v>6374.7056004299247</v>
      </c>
      <c r="D288" s="19">
        <f>Clean_Data!E286</f>
        <v>7.2380952380952603</v>
      </c>
      <c r="E288" s="20">
        <f>Clean_Data!F286</f>
        <v>23.523</v>
      </c>
      <c r="F288" s="21">
        <f>Clean_Data!G286</f>
        <v>51728516</v>
      </c>
    </row>
    <row r="289" spans="1:6" x14ac:dyDescent="0.3">
      <c r="A289" t="str">
        <f>Clean_Data!A287</f>
        <v>South Africa</v>
      </c>
      <c r="B289">
        <f>Clean_Data!C287</f>
        <v>2010</v>
      </c>
      <c r="C289" s="19">
        <f>Clean_Data!D287</f>
        <v>7973.4719577151691</v>
      </c>
      <c r="D289" s="19">
        <f>Clean_Data!E287</f>
        <v>4.0674955595026301</v>
      </c>
      <c r="E289" s="20">
        <f>Clean_Data!F287</f>
        <v>24.683</v>
      </c>
      <c r="F289" s="21">
        <f>Clean_Data!G287</f>
        <v>52344051</v>
      </c>
    </row>
    <row r="290" spans="1:6" x14ac:dyDescent="0.3">
      <c r="A290" t="str">
        <f>Clean_Data!A288</f>
        <v>South Africa</v>
      </c>
      <c r="B290">
        <f>Clean_Data!C288</f>
        <v>2011</v>
      </c>
      <c r="C290" s="19">
        <f>Clean_Data!D288</f>
        <v>8646.0557107163477</v>
      </c>
      <c r="D290" s="19">
        <f>Clean_Data!E288</f>
        <v>5.0008533879502002</v>
      </c>
      <c r="E290" s="20">
        <f>Clean_Data!F288</f>
        <v>24.638999999999999</v>
      </c>
      <c r="F290" s="21">
        <f>Clean_Data!G288</f>
        <v>52995205</v>
      </c>
    </row>
    <row r="291" spans="1:6" x14ac:dyDescent="0.3">
      <c r="A291" t="str">
        <f>Clean_Data!A289</f>
        <v>South Africa</v>
      </c>
      <c r="B291">
        <f>Clean_Data!C289</f>
        <v>2012</v>
      </c>
      <c r="C291" s="19">
        <f>Clean_Data!D289</f>
        <v>8076.9767847974063</v>
      </c>
      <c r="D291" s="19">
        <f>Clean_Data!E289</f>
        <v>5.73797139141739</v>
      </c>
      <c r="E291" s="20">
        <f>Clean_Data!F289</f>
        <v>24.727</v>
      </c>
      <c r="F291" s="21">
        <f>Clean_Data!G289</f>
        <v>53782567</v>
      </c>
    </row>
    <row r="292" spans="1:6" x14ac:dyDescent="0.3">
      <c r="A292" t="str">
        <f>Clean_Data!A290</f>
        <v>South Africa</v>
      </c>
      <c r="B292">
        <f>Clean_Data!C290</f>
        <v>2013</v>
      </c>
      <c r="C292" s="19">
        <f>Clean_Data!D290</f>
        <v>7331.6546738491925</v>
      </c>
      <c r="D292" s="19">
        <f>Clean_Data!E290</f>
        <v>5.7801691006917499</v>
      </c>
      <c r="E292" s="20">
        <f>Clean_Data!F290</f>
        <v>24.561</v>
      </c>
      <c r="F292" s="21">
        <f>Clean_Data!G290</f>
        <v>54678791</v>
      </c>
    </row>
    <row r="293" spans="1:6" x14ac:dyDescent="0.3">
      <c r="A293" t="str">
        <f>Clean_Data!A291</f>
        <v>South Africa</v>
      </c>
      <c r="B293">
        <f>Clean_Data!C291</f>
        <v>2014</v>
      </c>
      <c r="C293" s="19">
        <f>Clean_Data!D291</f>
        <v>6856.7313709252221</v>
      </c>
      <c r="D293" s="19">
        <f>Clean_Data!E291</f>
        <v>6.1328295305914899</v>
      </c>
      <c r="E293" s="20">
        <f>Clean_Data!F291</f>
        <v>24.89</v>
      </c>
      <c r="F293" s="21">
        <f>Clean_Data!G291</f>
        <v>55594838</v>
      </c>
    </row>
    <row r="294" spans="1:6" x14ac:dyDescent="0.3">
      <c r="A294" t="str">
        <f>Clean_Data!A292</f>
        <v>South Africa</v>
      </c>
      <c r="B294">
        <f>Clean_Data!C292</f>
        <v>2015</v>
      </c>
      <c r="C294" s="19">
        <f>Clean_Data!D292</f>
        <v>6112.2738248597416</v>
      </c>
      <c r="D294" s="19">
        <f>Clean_Data!E292</f>
        <v>4.5186909489250597</v>
      </c>
      <c r="E294" s="20">
        <f>Clean_Data!F292</f>
        <v>25.149000000000001</v>
      </c>
      <c r="F294" s="21">
        <f>Clean_Data!G292</f>
        <v>56723537</v>
      </c>
    </row>
    <row r="295" spans="1:6" x14ac:dyDescent="0.3">
      <c r="A295" t="str">
        <f>Clean_Data!A293</f>
        <v>South Africa</v>
      </c>
      <c r="B295">
        <f>Clean_Data!C293</f>
        <v>2016</v>
      </c>
      <c r="C295" s="19">
        <f>Clean_Data!D293</f>
        <v>5651.2058516574916</v>
      </c>
      <c r="D295" s="19">
        <f>Clean_Data!E293</f>
        <v>6.6029084239487101</v>
      </c>
      <c r="E295" s="20">
        <f>Clean_Data!F293</f>
        <v>26.536000000000001</v>
      </c>
      <c r="F295" s="21">
        <f>Clean_Data!G293</f>
        <v>57259551</v>
      </c>
    </row>
    <row r="296" spans="1:6" x14ac:dyDescent="0.3">
      <c r="A296" t="str">
        <f>Clean_Data!A294</f>
        <v>South Africa</v>
      </c>
      <c r="B296">
        <f>Clean_Data!C294</f>
        <v>2017</v>
      </c>
      <c r="C296" s="19">
        <f>Clean_Data!D294</f>
        <v>6618.335082557006</v>
      </c>
      <c r="D296" s="19">
        <f>Clean_Data!E294</f>
        <v>5.1861865552414903</v>
      </c>
      <c r="E296" s="20">
        <f>Clean_Data!F294</f>
        <v>27.035</v>
      </c>
      <c r="F296" s="21">
        <f>Clean_Data!G294</f>
        <v>57635162</v>
      </c>
    </row>
    <row r="297" spans="1:6" x14ac:dyDescent="0.3">
      <c r="A297" t="str">
        <f>Clean_Data!A295</f>
        <v>South Africa</v>
      </c>
      <c r="B297">
        <f>Clean_Data!C295</f>
        <v>2018</v>
      </c>
      <c r="C297" s="19">
        <f>Clean_Data!D295</f>
        <v>6914.1780318075989</v>
      </c>
      <c r="D297" s="19">
        <f>Clean_Data!E295</f>
        <v>4.5098726486738698</v>
      </c>
      <c r="E297" s="20">
        <f>Clean_Data!F295</f>
        <v>26.905999999999999</v>
      </c>
      <c r="F297" s="21">
        <f>Clean_Data!G295</f>
        <v>58613001</v>
      </c>
    </row>
    <row r="298" spans="1:6" x14ac:dyDescent="0.3">
      <c r="A298" t="str">
        <f>Clean_Data!A296</f>
        <v>South Africa</v>
      </c>
      <c r="B298">
        <f>Clean_Data!C296</f>
        <v>2019</v>
      </c>
      <c r="C298" s="19">
        <f>Clean_Data!D296</f>
        <v>6533.7112103285608</v>
      </c>
      <c r="D298" s="19">
        <f>Clean_Data!E296</f>
        <v>4.1028507546115502</v>
      </c>
      <c r="E298" s="20">
        <f>Clean_Data!F296</f>
        <v>28.468</v>
      </c>
      <c r="F298" s="21">
        <f>Clean_Data!G296</f>
        <v>59587885</v>
      </c>
    </row>
    <row r="299" spans="1:6" x14ac:dyDescent="0.3">
      <c r="A299" t="str">
        <f>Clean_Data!A297</f>
        <v>South Africa</v>
      </c>
      <c r="B299">
        <f>Clean_Data!C297</f>
        <v>2020</v>
      </c>
      <c r="C299" s="19">
        <f>Clean_Data!D297</f>
        <v>5580.6038307518866</v>
      </c>
      <c r="D299" s="19">
        <f>Clean_Data!E297</f>
        <v>3.23238831615113</v>
      </c>
      <c r="E299" s="20">
        <f>Clean_Data!F297</f>
        <v>29.216999999999999</v>
      </c>
      <c r="F299" s="21">
        <f>Clean_Data!G297</f>
        <v>60562381</v>
      </c>
    </row>
    <row r="300" spans="1:6" x14ac:dyDescent="0.3">
      <c r="A300" t="str">
        <f>Clean_Data!A298</f>
        <v>South Africa</v>
      </c>
      <c r="B300">
        <f>Clean_Data!C298</f>
        <v>2021</v>
      </c>
      <c r="C300" s="19">
        <f>Clean_Data!D298</f>
        <v>6828.7562459001674</v>
      </c>
      <c r="D300" s="19">
        <f>Clean_Data!E298</f>
        <v>4.6187454488713602</v>
      </c>
      <c r="E300" s="20">
        <f>Clean_Data!F298</f>
        <v>34.006999999999998</v>
      </c>
      <c r="F300" s="21">
        <f>Clean_Data!G298</f>
        <v>61502603</v>
      </c>
    </row>
    <row r="301" spans="1:6" x14ac:dyDescent="0.3">
      <c r="A301" t="str">
        <f>Clean_Data!A299</f>
        <v>South Africa</v>
      </c>
      <c r="B301">
        <f>Clean_Data!C299</f>
        <v>2022</v>
      </c>
      <c r="C301" s="19">
        <f>Clean_Data!D299</f>
        <v>6534.2486778339689</v>
      </c>
      <c r="D301" s="19">
        <f>Clean_Data!E299</f>
        <v>7.0398727254648099</v>
      </c>
      <c r="E301" s="20">
        <f>Clean_Data!F299</f>
        <v>33.268000000000001</v>
      </c>
      <c r="F301" s="21">
        <f>Clean_Data!G299</f>
        <v>62378410</v>
      </c>
    </row>
    <row r="302" spans="1:6" x14ac:dyDescent="0.3">
      <c r="A302" t="str">
        <f>Clean_Data!A300</f>
        <v>South Africa</v>
      </c>
      <c r="B302">
        <f>Clean_Data!C300</f>
        <v>2023</v>
      </c>
      <c r="C302" s="19">
        <f>Clean_Data!D300</f>
        <v>6034.2720896467317</v>
      </c>
      <c r="D302" s="19">
        <f>Clean_Data!E300</f>
        <v>6.0752438457965896</v>
      </c>
      <c r="E302" s="20">
        <f>Clean_Data!F300</f>
        <v>32.097999999999999</v>
      </c>
      <c r="F302" s="21">
        <f>Clean_Data!G300</f>
        <v>63212384</v>
      </c>
    </row>
    <row r="303" spans="1:6" x14ac:dyDescent="0.3">
      <c r="A303" t="str">
        <f>Clean_Data!A301</f>
        <v>South Africa</v>
      </c>
      <c r="B303">
        <f>Clean_Data!C301</f>
        <v>2024</v>
      </c>
      <c r="C303" s="19">
        <f>Clean_Data!D301</f>
        <v>6267.1868140930046</v>
      </c>
      <c r="D303" s="19">
        <f>Clean_Data!E301</f>
        <v>4.3611524651896199</v>
      </c>
      <c r="E303" s="20">
        <f>Clean_Data!F301</f>
        <v>32.279000000000003</v>
      </c>
      <c r="F303" s="21">
        <f>Clean_Data!G301</f>
        <v>64007187</v>
      </c>
    </row>
    <row r="304" spans="1:6" x14ac:dyDescent="0.3">
      <c r="A304" t="str">
        <f>Clean_Data!A302</f>
        <v>Spain</v>
      </c>
      <c r="B304">
        <f>Clean_Data!C302</f>
        <v>2000</v>
      </c>
      <c r="C304" s="19">
        <f>Clean_Data!D302</f>
        <v>14743.267103145477</v>
      </c>
      <c r="D304" s="19">
        <f>Clean_Data!E302</f>
        <v>3.4335165710398798</v>
      </c>
      <c r="E304" s="20">
        <f>Clean_Data!F302</f>
        <v>13.785</v>
      </c>
      <c r="F304" s="21">
        <f>Clean_Data!G302</f>
        <v>40567864</v>
      </c>
    </row>
    <row r="305" spans="1:6" x14ac:dyDescent="0.3">
      <c r="A305" t="str">
        <f>Clean_Data!A303</f>
        <v>Spain</v>
      </c>
      <c r="B305">
        <f>Clean_Data!C303</f>
        <v>2001</v>
      </c>
      <c r="C305" s="19">
        <f>Clean_Data!D303</f>
        <v>15368.233798443476</v>
      </c>
      <c r="D305" s="19">
        <f>Clean_Data!E303</f>
        <v>3.58983367750045</v>
      </c>
      <c r="E305" s="20">
        <f>Clean_Data!F303</f>
        <v>10.348000000000001</v>
      </c>
      <c r="F305" s="21">
        <f>Clean_Data!G303</f>
        <v>40850412</v>
      </c>
    </row>
    <row r="306" spans="1:6" x14ac:dyDescent="0.3">
      <c r="A306" t="str">
        <f>Clean_Data!A304</f>
        <v>Spain</v>
      </c>
      <c r="B306">
        <f>Clean_Data!C304</f>
        <v>2002</v>
      </c>
      <c r="C306" s="19">
        <f>Clean_Data!D304</f>
        <v>17111.068505894054</v>
      </c>
      <c r="D306" s="19">
        <f>Clean_Data!E304</f>
        <v>3.06545608883828</v>
      </c>
      <c r="E306" s="20">
        <f>Clean_Data!F304</f>
        <v>11.146000000000001</v>
      </c>
      <c r="F306" s="21">
        <f>Clean_Data!G304</f>
        <v>41431558</v>
      </c>
    </row>
    <row r="307" spans="1:6" x14ac:dyDescent="0.3">
      <c r="A307" t="str">
        <f>Clean_Data!A305</f>
        <v>Spain</v>
      </c>
      <c r="B307">
        <f>Clean_Data!C305</f>
        <v>2003</v>
      </c>
      <c r="C307" s="19">
        <f>Clean_Data!D305</f>
        <v>21522.01709902615</v>
      </c>
      <c r="D307" s="19">
        <f>Clean_Data!E305</f>
        <v>3.03913607750866</v>
      </c>
      <c r="E307" s="20">
        <f>Clean_Data!F305</f>
        <v>11.282999999999999</v>
      </c>
      <c r="F307" s="21">
        <f>Clean_Data!G305</f>
        <v>42187645</v>
      </c>
    </row>
    <row r="308" spans="1:6" x14ac:dyDescent="0.3">
      <c r="A308" t="str">
        <f>Clean_Data!A306</f>
        <v>Spain</v>
      </c>
      <c r="B308">
        <f>Clean_Data!C306</f>
        <v>2004</v>
      </c>
      <c r="C308" s="19">
        <f>Clean_Data!D306</f>
        <v>24925.02678445755</v>
      </c>
      <c r="D308" s="19">
        <f>Clean_Data!E306</f>
        <v>3.0394837875338401</v>
      </c>
      <c r="E308" s="20">
        <f>Clean_Data!F306</f>
        <v>11.09</v>
      </c>
      <c r="F308" s="21">
        <f>Clean_Data!G306</f>
        <v>42921895</v>
      </c>
    </row>
    <row r="309" spans="1:6" x14ac:dyDescent="0.3">
      <c r="A309" t="str">
        <f>Clean_Data!A307</f>
        <v>Spain</v>
      </c>
      <c r="B309">
        <f>Clean_Data!C307</f>
        <v>2005</v>
      </c>
      <c r="C309" s="19">
        <f>Clean_Data!D307</f>
        <v>26450.953013038234</v>
      </c>
      <c r="D309" s="19">
        <f>Clean_Data!E307</f>
        <v>3.3683142609489098</v>
      </c>
      <c r="E309" s="20">
        <f>Clean_Data!F307</f>
        <v>9.1460000000000008</v>
      </c>
      <c r="F309" s="21">
        <f>Clean_Data!G307</f>
        <v>43653155</v>
      </c>
    </row>
    <row r="310" spans="1:6" x14ac:dyDescent="0.3">
      <c r="A310" t="str">
        <f>Clean_Data!A308</f>
        <v>Spain</v>
      </c>
      <c r="B310">
        <f>Clean_Data!C308</f>
        <v>2006</v>
      </c>
      <c r="C310" s="19">
        <f>Clean_Data!D308</f>
        <v>28421.686527407033</v>
      </c>
      <c r="D310" s="19">
        <f>Clean_Data!E308</f>
        <v>3.5158102691812498</v>
      </c>
      <c r="E310" s="20">
        <f>Clean_Data!F308</f>
        <v>8.452</v>
      </c>
      <c r="F310" s="21">
        <f>Clean_Data!G308</f>
        <v>44397319</v>
      </c>
    </row>
    <row r="311" spans="1:6" x14ac:dyDescent="0.3">
      <c r="A311" t="str">
        <f>Clean_Data!A309</f>
        <v>Spain</v>
      </c>
      <c r="B311">
        <f>Clean_Data!C309</f>
        <v>2007</v>
      </c>
      <c r="C311" s="19">
        <f>Clean_Data!D309</f>
        <v>32652.015594701981</v>
      </c>
      <c r="D311" s="19">
        <f>Clean_Data!E309</f>
        <v>2.7865918101789302</v>
      </c>
      <c r="E311" s="20">
        <f>Clean_Data!F309</f>
        <v>8.2319999999999993</v>
      </c>
      <c r="F311" s="21">
        <f>Clean_Data!G309</f>
        <v>45226803</v>
      </c>
    </row>
    <row r="312" spans="1:6" x14ac:dyDescent="0.3">
      <c r="A312" t="str">
        <f>Clean_Data!A310</f>
        <v>Spain</v>
      </c>
      <c r="B312">
        <f>Clean_Data!C310</f>
        <v>2008</v>
      </c>
      <c r="C312" s="19">
        <f>Clean_Data!D310</f>
        <v>35603.248328071044</v>
      </c>
      <c r="D312" s="19">
        <f>Clean_Data!E310</f>
        <v>4.0756625165524998</v>
      </c>
      <c r="E312" s="20">
        <f>Clean_Data!F310</f>
        <v>11.254</v>
      </c>
      <c r="F312" s="21">
        <f>Clean_Data!G310</f>
        <v>45954106</v>
      </c>
    </row>
    <row r="313" spans="1:6" x14ac:dyDescent="0.3">
      <c r="A313" t="str">
        <f>Clean_Data!A311</f>
        <v>Spain</v>
      </c>
      <c r="B313">
        <f>Clean_Data!C311</f>
        <v>2009</v>
      </c>
      <c r="C313" s="19">
        <f>Clean_Data!D311</f>
        <v>32279.820847615145</v>
      </c>
      <c r="D313" s="19">
        <f>Clean_Data!E311</f>
        <v>-0.28793362792947802</v>
      </c>
      <c r="E313" s="20">
        <f>Clean_Data!F311</f>
        <v>17.856999999999999</v>
      </c>
      <c r="F313" s="21">
        <f>Clean_Data!G311</f>
        <v>46362946</v>
      </c>
    </row>
    <row r="314" spans="1:6" x14ac:dyDescent="0.3">
      <c r="A314" t="str">
        <f>Clean_Data!A312</f>
        <v>Spain</v>
      </c>
      <c r="B314">
        <f>Clean_Data!C312</f>
        <v>2010</v>
      </c>
      <c r="C314" s="19">
        <f>Clean_Data!D312</f>
        <v>30658.742228291194</v>
      </c>
      <c r="D314" s="19">
        <f>Clean_Data!E312</f>
        <v>1.79982772602942</v>
      </c>
      <c r="E314" s="20">
        <f>Clean_Data!F312</f>
        <v>19.86</v>
      </c>
      <c r="F314" s="21">
        <f>Clean_Data!G312</f>
        <v>46576897</v>
      </c>
    </row>
    <row r="315" spans="1:6" x14ac:dyDescent="0.3">
      <c r="A315" t="str">
        <f>Clean_Data!A313</f>
        <v>Spain</v>
      </c>
      <c r="B315">
        <f>Clean_Data!C313</f>
        <v>2011</v>
      </c>
      <c r="C315" s="19">
        <f>Clean_Data!D313</f>
        <v>31824.621913477695</v>
      </c>
      <c r="D315" s="19">
        <f>Clean_Data!E313</f>
        <v>3.1960942501808098</v>
      </c>
      <c r="E315" s="20">
        <f>Clean_Data!F313</f>
        <v>21.39</v>
      </c>
      <c r="F315" s="21">
        <f>Clean_Data!G313</f>
        <v>46742697</v>
      </c>
    </row>
    <row r="316" spans="1:6" x14ac:dyDescent="0.3">
      <c r="A316" t="str">
        <f>Clean_Data!A314</f>
        <v>Spain</v>
      </c>
      <c r="B316">
        <f>Clean_Data!C314</f>
        <v>2012</v>
      </c>
      <c r="C316" s="19">
        <f>Clean_Data!D314</f>
        <v>28456.44381514769</v>
      </c>
      <c r="D316" s="19">
        <f>Clean_Data!E314</f>
        <v>2.4459573503020202</v>
      </c>
      <c r="E316" s="20">
        <f>Clean_Data!F314</f>
        <v>24.789000000000001</v>
      </c>
      <c r="F316" s="21">
        <f>Clean_Data!G314</f>
        <v>46773055</v>
      </c>
    </row>
    <row r="317" spans="1:6" x14ac:dyDescent="0.3">
      <c r="A317" t="str">
        <f>Clean_Data!A315</f>
        <v>Spain</v>
      </c>
      <c r="B317">
        <f>Clean_Data!C315</f>
        <v>2013</v>
      </c>
      <c r="C317" s="19">
        <f>Clean_Data!D315</f>
        <v>29228.846559842044</v>
      </c>
      <c r="D317" s="19">
        <f>Clean_Data!E315</f>
        <v>1.40871603132886</v>
      </c>
      <c r="E317" s="20">
        <f>Clean_Data!F315</f>
        <v>26.094000000000001</v>
      </c>
      <c r="F317" s="21">
        <f>Clean_Data!G315</f>
        <v>46604197</v>
      </c>
    </row>
    <row r="318" spans="1:6" x14ac:dyDescent="0.3">
      <c r="A318" t="str">
        <f>Clean_Data!A316</f>
        <v>Spain</v>
      </c>
      <c r="B318">
        <f>Clean_Data!C316</f>
        <v>2014</v>
      </c>
      <c r="C318" s="19">
        <f>Clean_Data!D316</f>
        <v>29707.765509467015</v>
      </c>
      <c r="D318" s="19">
        <f>Clean_Data!E316</f>
        <v>-0.15092121765504801</v>
      </c>
      <c r="E318" s="20">
        <f>Clean_Data!F316</f>
        <v>24.440999999999999</v>
      </c>
      <c r="F318" s="21">
        <f>Clean_Data!G316</f>
        <v>46460733</v>
      </c>
    </row>
    <row r="319" spans="1:6" x14ac:dyDescent="0.3">
      <c r="A319" t="str">
        <f>Clean_Data!A317</f>
        <v>Spain</v>
      </c>
      <c r="B319">
        <f>Clean_Data!C317</f>
        <v>2015</v>
      </c>
      <c r="C319" s="19">
        <f>Clean_Data!D317</f>
        <v>25982.44161977755</v>
      </c>
      <c r="D319" s="19">
        <f>Clean_Data!E317</f>
        <v>-0.50032742014990395</v>
      </c>
      <c r="E319" s="20">
        <f>Clean_Data!F317</f>
        <v>22.056999999999999</v>
      </c>
      <c r="F319" s="21">
        <f>Clean_Data!G317</f>
        <v>46422303</v>
      </c>
    </row>
    <row r="320" spans="1:6" x14ac:dyDescent="0.3">
      <c r="A320" t="str">
        <f>Clean_Data!A318</f>
        <v>Spain</v>
      </c>
      <c r="B320">
        <f>Clean_Data!C318</f>
        <v>2016</v>
      </c>
      <c r="C320" s="19">
        <f>Clean_Data!D318</f>
        <v>26755.606114939812</v>
      </c>
      <c r="D320" s="19">
        <f>Clean_Data!E318</f>
        <v>-0.20272190336745399</v>
      </c>
      <c r="E320" s="20">
        <f>Clean_Data!F318</f>
        <v>19.635000000000002</v>
      </c>
      <c r="F320" s="21">
        <f>Clean_Data!G318</f>
        <v>46458139</v>
      </c>
    </row>
    <row r="321" spans="1:6" x14ac:dyDescent="0.3">
      <c r="A321" t="str">
        <f>Clean_Data!A319</f>
        <v>Spain</v>
      </c>
      <c r="B321">
        <f>Clean_Data!C319</f>
        <v>2017</v>
      </c>
      <c r="C321" s="19">
        <f>Clean_Data!D319</f>
        <v>28381.342559690624</v>
      </c>
      <c r="D321" s="19">
        <f>Clean_Data!E319</f>
        <v>1.95575728963107</v>
      </c>
      <c r="E321" s="20">
        <f>Clean_Data!F319</f>
        <v>17.224</v>
      </c>
      <c r="F321" s="21">
        <f>Clean_Data!G319</f>
        <v>46571232</v>
      </c>
    </row>
    <row r="322" spans="1:6" x14ac:dyDescent="0.3">
      <c r="A322" t="str">
        <f>Clean_Data!A320</f>
        <v>Spain</v>
      </c>
      <c r="B322">
        <f>Clean_Data!C320</f>
        <v>2018</v>
      </c>
      <c r="C322" s="19">
        <f>Clean_Data!D320</f>
        <v>30602.42128811132</v>
      </c>
      <c r="D322" s="19">
        <f>Clean_Data!E320</f>
        <v>1.6753982146528701</v>
      </c>
      <c r="E322" s="20">
        <f>Clean_Data!F320</f>
        <v>15.255000000000001</v>
      </c>
      <c r="F322" s="21">
        <f>Clean_Data!G320</f>
        <v>46782011</v>
      </c>
    </row>
    <row r="323" spans="1:6" x14ac:dyDescent="0.3">
      <c r="A323" t="str">
        <f>Clean_Data!A321</f>
        <v>Spain</v>
      </c>
      <c r="B323">
        <f>Clean_Data!C321</f>
        <v>2019</v>
      </c>
      <c r="C323" s="19">
        <f>Clean_Data!D321</f>
        <v>29786.524568900699</v>
      </c>
      <c r="D323" s="19">
        <f>Clean_Data!E321</f>
        <v>0.699267137814226</v>
      </c>
      <c r="E323" s="20">
        <f>Clean_Data!F321</f>
        <v>14.103999999999999</v>
      </c>
      <c r="F323" s="21">
        <f>Clean_Data!G321</f>
        <v>47118501</v>
      </c>
    </row>
    <row r="324" spans="1:6" x14ac:dyDescent="0.3">
      <c r="A324" t="str">
        <f>Clean_Data!A322</f>
        <v>Spain</v>
      </c>
      <c r="B324">
        <f>Clean_Data!C322</f>
        <v>2020</v>
      </c>
      <c r="C324" s="19">
        <f>Clean_Data!D322</f>
        <v>27233.942646160765</v>
      </c>
      <c r="D324" s="19">
        <f>Clean_Data!E322</f>
        <v>-0.32256461686194199</v>
      </c>
      <c r="E324" s="20">
        <f>Clean_Data!F322</f>
        <v>15.532</v>
      </c>
      <c r="F324" s="21">
        <f>Clean_Data!G322</f>
        <v>47359424</v>
      </c>
    </row>
    <row r="325" spans="1:6" x14ac:dyDescent="0.3">
      <c r="A325" t="str">
        <f>Clean_Data!A323</f>
        <v>Spain</v>
      </c>
      <c r="B325">
        <f>Clean_Data!C323</f>
        <v>2021</v>
      </c>
      <c r="C325" s="19">
        <f>Clean_Data!D323</f>
        <v>30799.477593777483</v>
      </c>
      <c r="D325" s="19">
        <f>Clean_Data!E323</f>
        <v>3.0930498953180501</v>
      </c>
      <c r="E325" s="20">
        <f>Clean_Data!F323</f>
        <v>14.914</v>
      </c>
      <c r="F325" s="21">
        <f>Clean_Data!G323</f>
        <v>47443821</v>
      </c>
    </row>
    <row r="326" spans="1:6" x14ac:dyDescent="0.3">
      <c r="A326" t="str">
        <f>Clean_Data!A324</f>
        <v>Spain</v>
      </c>
      <c r="B326">
        <f>Clean_Data!C324</f>
        <v>2022</v>
      </c>
      <c r="C326" s="19">
        <f>Clean_Data!D324</f>
        <v>30319.498719661635</v>
      </c>
      <c r="D326" s="19">
        <f>Clean_Data!E324</f>
        <v>8.3904194074889595</v>
      </c>
      <c r="E326" s="20">
        <f>Clean_Data!F324</f>
        <v>13.032999999999999</v>
      </c>
      <c r="F326" s="21">
        <f>Clean_Data!G324</f>
        <v>47786102</v>
      </c>
    </row>
    <row r="327" spans="1:6" x14ac:dyDescent="0.3">
      <c r="A327" t="str">
        <f>Clean_Data!A325</f>
        <v>Spain</v>
      </c>
      <c r="B327">
        <f>Clean_Data!C325</f>
        <v>2023</v>
      </c>
      <c r="C327" s="19">
        <f>Clean_Data!D325</f>
        <v>33493.222540911127</v>
      </c>
      <c r="D327" s="19">
        <f>Clean_Data!E325</f>
        <v>3.5324728766789799</v>
      </c>
      <c r="E327" s="20">
        <f>Clean_Data!F325</f>
        <v>12.179</v>
      </c>
      <c r="F327" s="21">
        <f>Clean_Data!G325</f>
        <v>48352528</v>
      </c>
    </row>
    <row r="328" spans="1:6" x14ac:dyDescent="0.3">
      <c r="A328" t="str">
        <f>Clean_Data!A326</f>
        <v>Spain</v>
      </c>
      <c r="B328">
        <f>Clean_Data!C326</f>
        <v>2024</v>
      </c>
      <c r="C328" s="19">
        <f>Clean_Data!D326</f>
        <v>35326.768306927806</v>
      </c>
      <c r="D328" s="19">
        <f>Clean_Data!E326</f>
        <v>2.7740698727587301</v>
      </c>
      <c r="E328" s="20">
        <f>Clean_Data!F326</f>
        <v>11.4</v>
      </c>
      <c r="F328" s="21">
        <f>Clean_Data!G326</f>
        <v>48848840</v>
      </c>
    </row>
    <row r="329" spans="1:6" x14ac:dyDescent="0.3">
      <c r="A329" t="str">
        <f>Clean_Data!A327</f>
        <v>United Kingdom</v>
      </c>
      <c r="B329">
        <f>Clean_Data!C327</f>
        <v>2000</v>
      </c>
      <c r="C329" s="19">
        <f>Clean_Data!D327</f>
        <v>28383.876109499641</v>
      </c>
      <c r="D329" s="19">
        <f>Clean_Data!E327</f>
        <v>1.18295624210408</v>
      </c>
      <c r="E329" s="20">
        <f>Clean_Data!F327</f>
        <v>5.5579999999999998</v>
      </c>
      <c r="F329" s="21">
        <f>Clean_Data!G327</f>
        <v>58892514</v>
      </c>
    </row>
    <row r="330" spans="1:6" x14ac:dyDescent="0.3">
      <c r="A330" t="str">
        <f>Clean_Data!A328</f>
        <v>United Kingdom</v>
      </c>
      <c r="B330">
        <f>Clean_Data!C328</f>
        <v>2001</v>
      </c>
      <c r="C330" s="19">
        <f>Clean_Data!D328</f>
        <v>28013.872963550777</v>
      </c>
      <c r="D330" s="19">
        <f>Clean_Data!E328</f>
        <v>1.5323496027241701</v>
      </c>
      <c r="E330" s="20">
        <f>Clean_Data!F328</f>
        <v>4.6959999999999997</v>
      </c>
      <c r="F330" s="21">
        <f>Clean_Data!G328</f>
        <v>59119673</v>
      </c>
    </row>
    <row r="331" spans="1:6" x14ac:dyDescent="0.3">
      <c r="A331" t="str">
        <f>Clean_Data!A329</f>
        <v>United Kingdom</v>
      </c>
      <c r="B331">
        <f>Clean_Data!C329</f>
        <v>2002</v>
      </c>
      <c r="C331" s="19">
        <f>Clean_Data!D329</f>
        <v>30158.701780785788</v>
      </c>
      <c r="D331" s="19">
        <f>Clean_Data!E329</f>
        <v>1.52040245947455</v>
      </c>
      <c r="E331" s="20">
        <f>Clean_Data!F329</f>
        <v>5.0369999999999999</v>
      </c>
      <c r="F331" s="21">
        <f>Clean_Data!G329</f>
        <v>59370479</v>
      </c>
    </row>
    <row r="332" spans="1:6" x14ac:dyDescent="0.3">
      <c r="A332" t="str">
        <f>Clean_Data!A330</f>
        <v>United Kingdom</v>
      </c>
      <c r="B332">
        <f>Clean_Data!C330</f>
        <v>2003</v>
      </c>
      <c r="C332" s="19">
        <f>Clean_Data!D330</f>
        <v>34556.772609590509</v>
      </c>
      <c r="D332" s="19">
        <f>Clean_Data!E330</f>
        <v>1.3765003854201301</v>
      </c>
      <c r="E332" s="20">
        <f>Clean_Data!F330</f>
        <v>4.8070000000000004</v>
      </c>
      <c r="F332" s="21">
        <f>Clean_Data!G330</f>
        <v>59647577</v>
      </c>
    </row>
    <row r="333" spans="1:6" x14ac:dyDescent="0.3">
      <c r="A333" t="str">
        <f>Clean_Data!A331</f>
        <v>United Kingdom</v>
      </c>
      <c r="B333">
        <f>Clean_Data!C331</f>
        <v>2004</v>
      </c>
      <c r="C333" s="19">
        <f>Clean_Data!D331</f>
        <v>40504.411810392849</v>
      </c>
      <c r="D333" s="19">
        <f>Clean_Data!E331</f>
        <v>1.3903975668042099</v>
      </c>
      <c r="E333" s="20">
        <f>Clean_Data!F331</f>
        <v>4.5940000000000003</v>
      </c>
      <c r="F333" s="21">
        <f>Clean_Data!G331</f>
        <v>59987905</v>
      </c>
    </row>
    <row r="334" spans="1:6" x14ac:dyDescent="0.3">
      <c r="A334" t="str">
        <f>Clean_Data!A332</f>
        <v>United Kingdom</v>
      </c>
      <c r="B334">
        <f>Clean_Data!C332</f>
        <v>2005</v>
      </c>
      <c r="C334" s="19">
        <f>Clean_Data!D332</f>
        <v>42240.246298754661</v>
      </c>
      <c r="D334" s="19">
        <f>Clean_Data!E332</f>
        <v>2.0891364902506901</v>
      </c>
      <c r="E334" s="20">
        <f>Clean_Data!F332</f>
        <v>4.8840000000000003</v>
      </c>
      <c r="F334" s="21">
        <f>Clean_Data!G332</f>
        <v>60401206</v>
      </c>
    </row>
    <row r="335" spans="1:6" x14ac:dyDescent="0.3">
      <c r="A335" t="str">
        <f>Clean_Data!A333</f>
        <v>United Kingdom</v>
      </c>
      <c r="B335">
        <f>Clean_Data!C333</f>
        <v>2006</v>
      </c>
      <c r="C335" s="19">
        <f>Clean_Data!D333</f>
        <v>44695.161023423956</v>
      </c>
      <c r="D335" s="19">
        <f>Clean_Data!E333</f>
        <v>2.4556616643928999</v>
      </c>
      <c r="E335" s="20">
        <f>Clean_Data!F333</f>
        <v>5.4720000000000004</v>
      </c>
      <c r="F335" s="21">
        <f>Clean_Data!G333</f>
        <v>60846820</v>
      </c>
    </row>
    <row r="336" spans="1:6" x14ac:dyDescent="0.3">
      <c r="A336" t="str">
        <f>Clean_Data!A334</f>
        <v>United Kingdom</v>
      </c>
      <c r="B336">
        <f>Clean_Data!C334</f>
        <v>2007</v>
      </c>
      <c r="C336" s="19">
        <f>Clean_Data!D334</f>
        <v>50629.07991728872</v>
      </c>
      <c r="D336" s="19">
        <f>Clean_Data!E334</f>
        <v>2.38656150773327</v>
      </c>
      <c r="E336" s="20">
        <f>Clean_Data!F334</f>
        <v>5.399</v>
      </c>
      <c r="F336" s="21">
        <f>Clean_Data!G334</f>
        <v>61322463</v>
      </c>
    </row>
    <row r="337" spans="1:6" x14ac:dyDescent="0.3">
      <c r="A337" t="str">
        <f>Clean_Data!A335</f>
        <v>United Kingdom</v>
      </c>
      <c r="B337">
        <f>Clean_Data!C335</f>
        <v>2008</v>
      </c>
      <c r="C337" s="19">
        <f>Clean_Data!D335</f>
        <v>47652.403069188105</v>
      </c>
      <c r="D337" s="19">
        <f>Clean_Data!E335</f>
        <v>3.5214085634253798</v>
      </c>
      <c r="E337" s="20">
        <f>Clean_Data!F335</f>
        <v>5.7480000000000002</v>
      </c>
      <c r="F337" s="21">
        <f>Clean_Data!G335</f>
        <v>61806995</v>
      </c>
    </row>
    <row r="338" spans="1:6" x14ac:dyDescent="0.3">
      <c r="A338" t="str">
        <f>Clean_Data!A336</f>
        <v>United Kingdom</v>
      </c>
      <c r="B338">
        <f>Clean_Data!C336</f>
        <v>2009</v>
      </c>
      <c r="C338" s="19">
        <f>Clean_Data!D336</f>
        <v>39009.371554782112</v>
      </c>
      <c r="D338" s="19">
        <f>Clean_Data!E336</f>
        <v>1.9617317356010899</v>
      </c>
      <c r="E338" s="20">
        <f>Clean_Data!F336</f>
        <v>7.6829999999999998</v>
      </c>
      <c r="F338" s="21">
        <f>Clean_Data!G336</f>
        <v>62276270</v>
      </c>
    </row>
    <row r="339" spans="1:6" x14ac:dyDescent="0.3">
      <c r="A339" t="str">
        <f>Clean_Data!A337</f>
        <v>United Kingdom</v>
      </c>
      <c r="B339">
        <f>Clean_Data!C337</f>
        <v>2010</v>
      </c>
      <c r="C339" s="19">
        <f>Clean_Data!D337</f>
        <v>39778.322052856478</v>
      </c>
      <c r="D339" s="19">
        <f>Clean_Data!E337</f>
        <v>2.4926547246706501</v>
      </c>
      <c r="E339" s="20">
        <f>Clean_Data!F337</f>
        <v>7.9729999999999999</v>
      </c>
      <c r="F339" s="21">
        <f>Clean_Data!G337</f>
        <v>62766365</v>
      </c>
    </row>
    <row r="340" spans="1:6" x14ac:dyDescent="0.3">
      <c r="A340" t="str">
        <f>Clean_Data!A338</f>
        <v>United Kingdom</v>
      </c>
      <c r="B340">
        <f>Clean_Data!C338</f>
        <v>2011</v>
      </c>
      <c r="C340" s="19">
        <f>Clean_Data!D338</f>
        <v>42295.927383532166</v>
      </c>
      <c r="D340" s="19">
        <f>Clean_Data!E338</f>
        <v>3.8561124468282002</v>
      </c>
      <c r="E340" s="20">
        <f>Clean_Data!F338</f>
        <v>8.1950000000000003</v>
      </c>
      <c r="F340" s="21">
        <f>Clean_Data!G338</f>
        <v>63258810</v>
      </c>
    </row>
    <row r="341" spans="1:6" x14ac:dyDescent="0.3">
      <c r="A341" t="str">
        <f>Clean_Data!A339</f>
        <v>United Kingdom</v>
      </c>
      <c r="B341">
        <f>Clean_Data!C339</f>
        <v>2012</v>
      </c>
      <c r="C341" s="19">
        <f>Clean_Data!D339</f>
        <v>42688.326372837204</v>
      </c>
      <c r="D341" s="19">
        <f>Clean_Data!E339</f>
        <v>2.5732347965453002</v>
      </c>
      <c r="E341" s="20">
        <f>Clean_Data!F339</f>
        <v>8.2789999999999999</v>
      </c>
      <c r="F341" s="21">
        <f>Clean_Data!G339</f>
        <v>63711000</v>
      </c>
    </row>
    <row r="342" spans="1:6" x14ac:dyDescent="0.3">
      <c r="A342" t="str">
        <f>Clean_Data!A340</f>
        <v>United Kingdom</v>
      </c>
      <c r="B342">
        <f>Clean_Data!C340</f>
        <v>2013</v>
      </c>
      <c r="C342" s="19">
        <f>Clean_Data!D340</f>
        <v>43607.663682737053</v>
      </c>
      <c r="D342" s="19">
        <f>Clean_Data!E340</f>
        <v>2.2916666666665901</v>
      </c>
      <c r="E342" s="20">
        <f>Clean_Data!F340</f>
        <v>7.7519999999999998</v>
      </c>
      <c r="F342" s="21">
        <f>Clean_Data!G340</f>
        <v>64138000</v>
      </c>
    </row>
    <row r="343" spans="1:6" x14ac:dyDescent="0.3">
      <c r="A343" t="str">
        <f>Clean_Data!A341</f>
        <v>United Kingdom</v>
      </c>
      <c r="B343">
        <f>Clean_Data!C341</f>
        <v>2014</v>
      </c>
      <c r="C343" s="19">
        <f>Clean_Data!D341</f>
        <v>47746.981064552092</v>
      </c>
      <c r="D343" s="19">
        <f>Clean_Data!E341</f>
        <v>1.4511201629327899</v>
      </c>
      <c r="E343" s="20">
        <f>Clean_Data!F341</f>
        <v>6.3979999999999997</v>
      </c>
      <c r="F343" s="21">
        <f>Clean_Data!G341</f>
        <v>64619000</v>
      </c>
    </row>
    <row r="344" spans="1:6" x14ac:dyDescent="0.3">
      <c r="A344" t="str">
        <f>Clean_Data!A342</f>
        <v>United Kingdom</v>
      </c>
      <c r="B344">
        <f>Clean_Data!C342</f>
        <v>2015</v>
      </c>
      <c r="C344" s="19">
        <f>Clean_Data!D342</f>
        <v>45256.04022705699</v>
      </c>
      <c r="D344" s="19">
        <f>Clean_Data!E342</f>
        <v>0.36804684232536</v>
      </c>
      <c r="E344" s="20">
        <f>Clean_Data!F342</f>
        <v>5.5519999999999996</v>
      </c>
      <c r="F344" s="21">
        <f>Clean_Data!G342</f>
        <v>65087000</v>
      </c>
    </row>
    <row r="345" spans="1:6" x14ac:dyDescent="0.3">
      <c r="A345" t="str">
        <f>Clean_Data!A343</f>
        <v>United Kingdom</v>
      </c>
      <c r="B345">
        <f>Clean_Data!C343</f>
        <v>2016</v>
      </c>
      <c r="C345" s="19">
        <f>Clean_Data!D343</f>
        <v>41258.5374285695</v>
      </c>
      <c r="D345" s="19">
        <f>Clean_Data!E343</f>
        <v>1.00841736811409</v>
      </c>
      <c r="E345" s="20">
        <f>Clean_Data!F343</f>
        <v>4.9089999999999998</v>
      </c>
      <c r="F345" s="21">
        <f>Clean_Data!G343</f>
        <v>65606000</v>
      </c>
    </row>
    <row r="346" spans="1:6" x14ac:dyDescent="0.3">
      <c r="A346" t="str">
        <f>Clean_Data!A344</f>
        <v>United Kingdom</v>
      </c>
      <c r="B346">
        <f>Clean_Data!C344</f>
        <v>2017</v>
      </c>
      <c r="C346" s="19">
        <f>Clean_Data!D344</f>
        <v>40918.052087094409</v>
      </c>
      <c r="D346" s="19">
        <f>Clean_Data!E344</f>
        <v>2.55775577557747</v>
      </c>
      <c r="E346" s="20">
        <f>Clean_Data!F344</f>
        <v>4.5010000000000003</v>
      </c>
      <c r="F346" s="21">
        <f>Clean_Data!G344</f>
        <v>65964000</v>
      </c>
    </row>
    <row r="347" spans="1:6" x14ac:dyDescent="0.3">
      <c r="A347" t="str">
        <f>Clean_Data!A345</f>
        <v>United Kingdom</v>
      </c>
      <c r="B347">
        <f>Clean_Data!C345</f>
        <v>2018</v>
      </c>
      <c r="C347" s="19">
        <f>Clean_Data!D345</f>
        <v>43704.316229668715</v>
      </c>
      <c r="D347" s="19">
        <f>Clean_Data!E345</f>
        <v>2.2928399034593698</v>
      </c>
      <c r="E347" s="20">
        <f>Clean_Data!F345</f>
        <v>4.1449999999999996</v>
      </c>
      <c r="F347" s="21">
        <f>Clean_Data!G345</f>
        <v>66287000</v>
      </c>
    </row>
    <row r="348" spans="1:6" x14ac:dyDescent="0.3">
      <c r="A348" t="str">
        <f>Clean_Data!A346</f>
        <v>United Kingdom</v>
      </c>
      <c r="B348">
        <f>Clean_Data!C346</f>
        <v>2019</v>
      </c>
      <c r="C348" s="19">
        <f>Clean_Data!D346</f>
        <v>43160.684397179866</v>
      </c>
      <c r="D348" s="19">
        <f>Clean_Data!E346</f>
        <v>1.73810460086512</v>
      </c>
      <c r="E348" s="20">
        <f>Clean_Data!F346</f>
        <v>3.657</v>
      </c>
      <c r="F348" s="21">
        <f>Clean_Data!G346</f>
        <v>66628000</v>
      </c>
    </row>
    <row r="349" spans="1:6" x14ac:dyDescent="0.3">
      <c r="A349" t="str">
        <f>Clean_Data!A347</f>
        <v>United Kingdom</v>
      </c>
      <c r="B349">
        <f>Clean_Data!C347</f>
        <v>2020</v>
      </c>
      <c r="C349" s="19">
        <f>Clean_Data!D347</f>
        <v>40815.125536478736</v>
      </c>
      <c r="D349" s="19">
        <f>Clean_Data!E347</f>
        <v>0.98948670377249104</v>
      </c>
      <c r="E349" s="20">
        <f>Clean_Data!F347</f>
        <v>4.4720000000000004</v>
      </c>
      <c r="F349" s="21">
        <f>Clean_Data!G347</f>
        <v>66740000</v>
      </c>
    </row>
    <row r="350" spans="1:6" x14ac:dyDescent="0.3">
      <c r="A350" t="str">
        <f>Clean_Data!A348</f>
        <v>United Kingdom</v>
      </c>
      <c r="B350">
        <f>Clean_Data!C348</f>
        <v>2021</v>
      </c>
      <c r="C350" s="19">
        <f>Clean_Data!D348</f>
        <v>47695.649152347447</v>
      </c>
      <c r="D350" s="19">
        <f>Clean_Data!E348</f>
        <v>2.51837109614213</v>
      </c>
      <c r="E350" s="20">
        <f>Clean_Data!F348</f>
        <v>4.8639999999999999</v>
      </c>
      <c r="F350" s="21">
        <f>Clean_Data!G348</f>
        <v>66978000</v>
      </c>
    </row>
    <row r="351" spans="1:6" x14ac:dyDescent="0.3">
      <c r="A351" t="str">
        <f>Clean_Data!A349</f>
        <v>United Kingdom</v>
      </c>
      <c r="B351">
        <f>Clean_Data!C349</f>
        <v>2022</v>
      </c>
      <c r="C351" s="19">
        <f>Clean_Data!D349</f>
        <v>47034.779562147589</v>
      </c>
      <c r="D351" s="19">
        <f>Clean_Data!E349</f>
        <v>7.9220488314790201</v>
      </c>
      <c r="E351" s="20">
        <f>Clean_Data!F349</f>
        <v>3.7679999999999998</v>
      </c>
      <c r="F351" s="21">
        <f>Clean_Data!G349</f>
        <v>67636000</v>
      </c>
    </row>
    <row r="352" spans="1:6" x14ac:dyDescent="0.3">
      <c r="A352" t="str">
        <f>Clean_Data!A350</f>
        <v>United Kingdom</v>
      </c>
      <c r="B352">
        <f>Clean_Data!C350</f>
        <v>2023</v>
      </c>
      <c r="C352" s="19">
        <f>Clean_Data!D350</f>
        <v>49919.689662158606</v>
      </c>
      <c r="D352" s="19">
        <f>Clean_Data!E350</f>
        <v>6.7939670679396196</v>
      </c>
      <c r="E352" s="20">
        <f>Clean_Data!F350</f>
        <v>4.0250000000000004</v>
      </c>
      <c r="F352" s="21">
        <f>Clean_Data!G350</f>
        <v>68526000</v>
      </c>
    </row>
    <row r="353" spans="1:6" x14ac:dyDescent="0.3">
      <c r="A353" t="str">
        <f>Clean_Data!A351</f>
        <v>United Kingdom</v>
      </c>
      <c r="B353">
        <f>Clean_Data!C351</f>
        <v>2024</v>
      </c>
      <c r="C353" s="19">
        <f>Clean_Data!D351</f>
        <v>53341.31310942617</v>
      </c>
      <c r="D353" s="19">
        <f>Clean_Data!E351</f>
        <v>3.2715729463591998</v>
      </c>
      <c r="E353" s="20">
        <f>Clean_Data!F351</f>
        <v>4.3609999999999998</v>
      </c>
      <c r="F353" s="21">
        <f>Clean_Data!G351</f>
        <v>69281000</v>
      </c>
    </row>
    <row r="354" spans="1:6" x14ac:dyDescent="0.3">
      <c r="A354" t="str">
        <f>Clean_Data!A352</f>
        <v>United States</v>
      </c>
      <c r="B354">
        <f>Clean_Data!C352</f>
        <v>2000</v>
      </c>
      <c r="C354" s="19">
        <f>Clean_Data!D352</f>
        <v>36329.970259575079</v>
      </c>
      <c r="D354" s="19">
        <f>Clean_Data!E352</f>
        <v>3.3768572714992899</v>
      </c>
      <c r="E354" s="20">
        <f>Clean_Data!F352</f>
        <v>3.992</v>
      </c>
      <c r="F354" s="21">
        <f>Clean_Data!G352</f>
        <v>282162411</v>
      </c>
    </row>
    <row r="355" spans="1:6" x14ac:dyDescent="0.3">
      <c r="A355" t="str">
        <f>Clean_Data!A353</f>
        <v>United States</v>
      </c>
      <c r="B355">
        <f>Clean_Data!C353</f>
        <v>2001</v>
      </c>
      <c r="C355" s="19">
        <f>Clean_Data!D353</f>
        <v>37133.620397351704</v>
      </c>
      <c r="D355" s="19">
        <f>Clean_Data!E353</f>
        <v>2.8261711188540701</v>
      </c>
      <c r="E355" s="20">
        <f>Clean_Data!F353</f>
        <v>4.7309999999999999</v>
      </c>
      <c r="F355" s="21">
        <f>Clean_Data!G353</f>
        <v>284968955</v>
      </c>
    </row>
    <row r="356" spans="1:6" x14ac:dyDescent="0.3">
      <c r="A356" t="str">
        <f>Clean_Data!A354</f>
        <v>United States</v>
      </c>
      <c r="B356">
        <f>Clean_Data!C354</f>
        <v>2002</v>
      </c>
      <c r="C356" s="19">
        <f>Clean_Data!D354</f>
        <v>37997.742430024198</v>
      </c>
      <c r="D356" s="19">
        <f>Clean_Data!E354</f>
        <v>1.5860316265060099</v>
      </c>
      <c r="E356" s="20">
        <f>Clean_Data!F354</f>
        <v>5.7830000000000004</v>
      </c>
      <c r="F356" s="21">
        <f>Clean_Data!G354</f>
        <v>287625193</v>
      </c>
    </row>
    <row r="357" spans="1:6" x14ac:dyDescent="0.3">
      <c r="A357" t="str">
        <f>Clean_Data!A355</f>
        <v>United States</v>
      </c>
      <c r="B357">
        <f>Clean_Data!C355</f>
        <v>2003</v>
      </c>
      <c r="C357" s="19">
        <f>Clean_Data!D355</f>
        <v>39490.302390317607</v>
      </c>
      <c r="D357" s="19">
        <f>Clean_Data!E355</f>
        <v>2.27009497336114</v>
      </c>
      <c r="E357" s="20">
        <f>Clean_Data!F355</f>
        <v>5.9889999999999999</v>
      </c>
      <c r="F357" s="21">
        <f>Clean_Data!G355</f>
        <v>290107933</v>
      </c>
    </row>
    <row r="358" spans="1:6" x14ac:dyDescent="0.3">
      <c r="A358" t="str">
        <f>Clean_Data!A356</f>
        <v>United States</v>
      </c>
      <c r="B358">
        <f>Clean_Data!C356</f>
        <v>2004</v>
      </c>
      <c r="C358" s="19">
        <f>Clean_Data!D356</f>
        <v>41724.641198261379</v>
      </c>
      <c r="D358" s="19">
        <f>Clean_Data!E356</f>
        <v>2.67723669309171</v>
      </c>
      <c r="E358" s="20">
        <f>Clean_Data!F356</f>
        <v>5.5289999999999999</v>
      </c>
      <c r="F358" s="21">
        <f>Clean_Data!G356</f>
        <v>292805298</v>
      </c>
    </row>
    <row r="359" spans="1:6" x14ac:dyDescent="0.3">
      <c r="A359" t="str">
        <f>Clean_Data!A357</f>
        <v>United States</v>
      </c>
      <c r="B359">
        <f>Clean_Data!C357</f>
        <v>2005</v>
      </c>
      <c r="C359" s="19">
        <f>Clean_Data!D357</f>
        <v>44123.399647002567</v>
      </c>
      <c r="D359" s="19">
        <f>Clean_Data!E357</f>
        <v>3.3927468454955001</v>
      </c>
      <c r="E359" s="20">
        <f>Clean_Data!F357</f>
        <v>5.0839999999999996</v>
      </c>
      <c r="F359" s="21">
        <f>Clean_Data!G357</f>
        <v>295516599</v>
      </c>
    </row>
    <row r="360" spans="1:6" x14ac:dyDescent="0.3">
      <c r="A360" t="str">
        <f>Clean_Data!A358</f>
        <v>United States</v>
      </c>
      <c r="B360">
        <f>Clean_Data!C358</f>
        <v>2006</v>
      </c>
      <c r="C360" s="19">
        <f>Clean_Data!D358</f>
        <v>46301.987648551891</v>
      </c>
      <c r="D360" s="19">
        <f>Clean_Data!E358</f>
        <v>3.2259441007040399</v>
      </c>
      <c r="E360" s="20">
        <f>Clean_Data!F358</f>
        <v>4.6230000000000002</v>
      </c>
      <c r="F360" s="21">
        <f>Clean_Data!G358</f>
        <v>298379912</v>
      </c>
    </row>
    <row r="361" spans="1:6" x14ac:dyDescent="0.3">
      <c r="A361" t="str">
        <f>Clean_Data!A359</f>
        <v>United States</v>
      </c>
      <c r="B361">
        <f>Clean_Data!C359</f>
        <v>2007</v>
      </c>
      <c r="C361" s="19">
        <f>Clean_Data!D359</f>
        <v>48050.227412195047</v>
      </c>
      <c r="D361" s="19">
        <f>Clean_Data!E359</f>
        <v>2.8526724815013802</v>
      </c>
      <c r="E361" s="20">
        <f>Clean_Data!F359</f>
        <v>4.6219999999999999</v>
      </c>
      <c r="F361" s="21">
        <f>Clean_Data!G359</f>
        <v>301231207</v>
      </c>
    </row>
    <row r="362" spans="1:6" x14ac:dyDescent="0.3">
      <c r="A362" t="str">
        <f>Clean_Data!A360</f>
        <v>United States</v>
      </c>
      <c r="B362">
        <f>Clean_Data!C360</f>
        <v>2008</v>
      </c>
      <c r="C362" s="19">
        <f>Clean_Data!D360</f>
        <v>48570.05942696015</v>
      </c>
      <c r="D362" s="19">
        <f>Clean_Data!E360</f>
        <v>3.8391002966509902</v>
      </c>
      <c r="E362" s="20">
        <f>Clean_Data!F360</f>
        <v>5.7839999999999998</v>
      </c>
      <c r="F362" s="21">
        <f>Clean_Data!G360</f>
        <v>304093966</v>
      </c>
    </row>
    <row r="363" spans="1:6" x14ac:dyDescent="0.3">
      <c r="A363" t="str">
        <f>Clean_Data!A361</f>
        <v>United States</v>
      </c>
      <c r="B363">
        <f>Clean_Data!C361</f>
        <v>2009</v>
      </c>
      <c r="C363" s="19">
        <f>Clean_Data!D361</f>
        <v>47194.95008938721</v>
      </c>
      <c r="D363" s="19">
        <f>Clean_Data!E361</f>
        <v>-0.355546266299747</v>
      </c>
      <c r="E363" s="20">
        <f>Clean_Data!F361</f>
        <v>9.2539999999999996</v>
      </c>
      <c r="F363" s="21">
        <f>Clean_Data!G361</f>
        <v>306771529</v>
      </c>
    </row>
    <row r="364" spans="1:6" x14ac:dyDescent="0.3">
      <c r="A364" t="str">
        <f>Clean_Data!A362</f>
        <v>United States</v>
      </c>
      <c r="B364">
        <f>Clean_Data!C362</f>
        <v>2010</v>
      </c>
      <c r="C364" s="19">
        <f>Clean_Data!D362</f>
        <v>48642.631208821302</v>
      </c>
      <c r="D364" s="19">
        <f>Clean_Data!E362</f>
        <v>1.6400434423899</v>
      </c>
      <c r="E364" s="20">
        <f>Clean_Data!F362</f>
        <v>9.6329999999999991</v>
      </c>
      <c r="F364" s="21">
        <f>Clean_Data!G362</f>
        <v>309378227</v>
      </c>
    </row>
    <row r="365" spans="1:6" x14ac:dyDescent="0.3">
      <c r="A365" t="str">
        <f>Clean_Data!A363</f>
        <v>United States</v>
      </c>
      <c r="B365">
        <f>Clean_Data!C363</f>
        <v>2011</v>
      </c>
      <c r="C365" s="19">
        <f>Clean_Data!D363</f>
        <v>50024.8812320773</v>
      </c>
      <c r="D365" s="19">
        <f>Clean_Data!E363</f>
        <v>3.1568415686220002</v>
      </c>
      <c r="E365" s="20">
        <f>Clean_Data!F363</f>
        <v>8.9489999999999998</v>
      </c>
      <c r="F365" s="21">
        <f>Clean_Data!G363</f>
        <v>311839461</v>
      </c>
    </row>
    <row r="366" spans="1:6" x14ac:dyDescent="0.3">
      <c r="A366" t="str">
        <f>Clean_Data!A364</f>
        <v>United States</v>
      </c>
      <c r="B366">
        <f>Clean_Data!C364</f>
        <v>2012</v>
      </c>
      <c r="C366" s="19">
        <f>Clean_Data!D364</f>
        <v>51708.394061408188</v>
      </c>
      <c r="D366" s="19">
        <f>Clean_Data!E364</f>
        <v>2.0693372652606601</v>
      </c>
      <c r="E366" s="20">
        <f>Clean_Data!F364</f>
        <v>8.0690000000000008</v>
      </c>
      <c r="F366" s="21">
        <f>Clean_Data!G364</f>
        <v>314339099</v>
      </c>
    </row>
    <row r="367" spans="1:6" x14ac:dyDescent="0.3">
      <c r="A367" t="str">
        <f>Clean_Data!A365</f>
        <v>United States</v>
      </c>
      <c r="B367">
        <f>Clean_Data!C365</f>
        <v>2013</v>
      </c>
      <c r="C367" s="19">
        <f>Clean_Data!D365</f>
        <v>53297.386290159528</v>
      </c>
      <c r="D367" s="19">
        <f>Clean_Data!E365</f>
        <v>1.46483265562716</v>
      </c>
      <c r="E367" s="20">
        <f>Clean_Data!F365</f>
        <v>7.375</v>
      </c>
      <c r="F367" s="21">
        <f>Clean_Data!G365</f>
        <v>316726282</v>
      </c>
    </row>
    <row r="368" spans="1:6" x14ac:dyDescent="0.3">
      <c r="A368" t="str">
        <f>Clean_Data!A366</f>
        <v>United States</v>
      </c>
      <c r="B368">
        <f>Clean_Data!C366</f>
        <v>2014</v>
      </c>
      <c r="C368" s="19">
        <f>Clean_Data!D366</f>
        <v>55153.394018296698</v>
      </c>
      <c r="D368" s="19">
        <f>Clean_Data!E366</f>
        <v>1.62222297740817</v>
      </c>
      <c r="E368" s="20">
        <f>Clean_Data!F366</f>
        <v>6.1680000000000001</v>
      </c>
      <c r="F368" s="21">
        <f>Clean_Data!G366</f>
        <v>319257560</v>
      </c>
    </row>
    <row r="369" spans="1:6" x14ac:dyDescent="0.3">
      <c r="A369" t="str">
        <f>Clean_Data!A367</f>
        <v>United States</v>
      </c>
      <c r="B369">
        <f>Clean_Data!C367</f>
        <v>2015</v>
      </c>
      <c r="C369" s="19">
        <f>Clean_Data!D367</f>
        <v>56849.46979231594</v>
      </c>
      <c r="D369" s="19">
        <f>Clean_Data!E367</f>
        <v>0.11862713555245</v>
      </c>
      <c r="E369" s="20">
        <f>Clean_Data!F367</f>
        <v>5.28</v>
      </c>
      <c r="F369" s="21">
        <f>Clean_Data!G367</f>
        <v>321815121</v>
      </c>
    </row>
    <row r="370" spans="1:6" x14ac:dyDescent="0.3">
      <c r="A370" t="str">
        <f>Clean_Data!A368</f>
        <v>United States</v>
      </c>
      <c r="B370">
        <f>Clean_Data!C368</f>
        <v>2016</v>
      </c>
      <c r="C370" s="19">
        <f>Clean_Data!D368</f>
        <v>57976.628204291039</v>
      </c>
      <c r="D370" s="19">
        <f>Clean_Data!E368</f>
        <v>1.26158320570535</v>
      </c>
      <c r="E370" s="20">
        <f>Clean_Data!F368</f>
        <v>4.8689999999999998</v>
      </c>
      <c r="F370" s="21">
        <f>Clean_Data!G368</f>
        <v>324353340</v>
      </c>
    </row>
    <row r="371" spans="1:6" x14ac:dyDescent="0.3">
      <c r="A371" t="str">
        <f>Clean_Data!A369</f>
        <v>United States</v>
      </c>
      <c r="B371">
        <f>Clean_Data!C369</f>
        <v>2017</v>
      </c>
      <c r="C371" s="19">
        <f>Clean_Data!D369</f>
        <v>60047.719072830689</v>
      </c>
      <c r="D371" s="19">
        <f>Clean_Data!E369</f>
        <v>2.1301100036596101</v>
      </c>
      <c r="E371" s="20">
        <f>Clean_Data!F369</f>
        <v>4.3550000000000004</v>
      </c>
      <c r="F371" s="21">
        <f>Clean_Data!G369</f>
        <v>326608609</v>
      </c>
    </row>
    <row r="372" spans="1:6" x14ac:dyDescent="0.3">
      <c r="A372" t="str">
        <f>Clean_Data!A370</f>
        <v>United States</v>
      </c>
      <c r="B372">
        <f>Clean_Data!C370</f>
        <v>2018</v>
      </c>
      <c r="C372" s="19">
        <f>Clean_Data!D370</f>
        <v>62875.666138272842</v>
      </c>
      <c r="D372" s="19">
        <f>Clean_Data!E370</f>
        <v>2.4425832969281598</v>
      </c>
      <c r="E372" s="20">
        <f>Clean_Data!F370</f>
        <v>3.8959999999999999</v>
      </c>
      <c r="F372" s="21">
        <f>Clean_Data!G370</f>
        <v>328529577</v>
      </c>
    </row>
    <row r="373" spans="1:6" x14ac:dyDescent="0.3">
      <c r="A373" t="str">
        <f>Clean_Data!A371</f>
        <v>United States</v>
      </c>
      <c r="B373">
        <f>Clean_Data!C371</f>
        <v>2019</v>
      </c>
      <c r="C373" s="19">
        <f>Clean_Data!D371</f>
        <v>65227.95659110383</v>
      </c>
      <c r="D373" s="19">
        <f>Clean_Data!E371</f>
        <v>1.8122100752601999</v>
      </c>
      <c r="E373" s="20">
        <f>Clean_Data!F371</f>
        <v>3.669</v>
      </c>
      <c r="F373" s="21">
        <f>Clean_Data!G371</f>
        <v>330226227</v>
      </c>
    </row>
    <row r="374" spans="1:6" x14ac:dyDescent="0.3">
      <c r="A374" t="str">
        <f>Clean_Data!A372</f>
        <v>United States</v>
      </c>
      <c r="B374">
        <f>Clean_Data!C372</f>
        <v>2020</v>
      </c>
      <c r="C374" s="19">
        <f>Clean_Data!D372</f>
        <v>64465.297141574825</v>
      </c>
      <c r="D374" s="19">
        <f>Clean_Data!E372</f>
        <v>1.23358439630629</v>
      </c>
      <c r="E374" s="20">
        <f>Clean_Data!F372</f>
        <v>8.0549999999999997</v>
      </c>
      <c r="F374" s="21">
        <f>Clean_Data!G372</f>
        <v>331578104</v>
      </c>
    </row>
    <row r="375" spans="1:6" x14ac:dyDescent="0.3">
      <c r="A375" t="str">
        <f>Clean_Data!A373</f>
        <v>United States</v>
      </c>
      <c r="B375">
        <f>Clean_Data!C373</f>
        <v>2021</v>
      </c>
      <c r="C375" s="19">
        <f>Clean_Data!D373</f>
        <v>71441.231980594675</v>
      </c>
      <c r="D375" s="19">
        <f>Clean_Data!E373</f>
        <v>4.6978588636374203</v>
      </c>
      <c r="E375" s="20">
        <f>Clean_Data!F373</f>
        <v>5.3490000000000002</v>
      </c>
      <c r="F375" s="21">
        <f>Clean_Data!G373</f>
        <v>332100166</v>
      </c>
    </row>
    <row r="376" spans="1:6" x14ac:dyDescent="0.3">
      <c r="A376" t="str">
        <f>Clean_Data!A374</f>
        <v>United States</v>
      </c>
      <c r="B376">
        <f>Clean_Data!C374</f>
        <v>2022</v>
      </c>
      <c r="C376" s="19">
        <f>Clean_Data!D374</f>
        <v>78008.689581187704</v>
      </c>
      <c r="D376" s="19">
        <f>Clean_Data!E374</f>
        <v>8.0027998205212096</v>
      </c>
      <c r="E376" s="20">
        <f>Clean_Data!F374</f>
        <v>3.65</v>
      </c>
      <c r="F376" s="21">
        <f>Clean_Data!G374</f>
        <v>333996304</v>
      </c>
    </row>
    <row r="377" spans="1:6" x14ac:dyDescent="0.3">
      <c r="A377" t="str">
        <f>Clean_Data!A375</f>
        <v>United States</v>
      </c>
      <c r="B377">
        <f>Clean_Data!C375</f>
        <v>2023</v>
      </c>
      <c r="C377" s="19">
        <f>Clean_Data!D375</f>
        <v>82586.784770789425</v>
      </c>
      <c r="D377" s="19">
        <f>Clean_Data!E375</f>
        <v>4.1163383837448704</v>
      </c>
      <c r="E377" s="20">
        <f>Clean_Data!F375</f>
        <v>3.6379999999999999</v>
      </c>
      <c r="F377" s="21">
        <f>Clean_Data!G375</f>
        <v>336755052</v>
      </c>
    </row>
    <row r="378" spans="1:6" x14ac:dyDescent="0.3">
      <c r="A378" t="str">
        <f>Clean_Data!A376</f>
        <v>United States</v>
      </c>
      <c r="B378">
        <f>Clean_Data!C376</f>
        <v>2024</v>
      </c>
      <c r="C378" s="19">
        <f>Clean_Data!D376</f>
        <v>86169.664158191736</v>
      </c>
      <c r="D378" s="19">
        <f>Clean_Data!E376</f>
        <v>2.9495252048520699</v>
      </c>
      <c r="E378" s="20">
        <f>Clean_Data!F376</f>
        <v>4.0220000000000002</v>
      </c>
      <c r="F378" s="21">
        <f>Clean_Data!G376</f>
        <v>340003797</v>
      </c>
    </row>
  </sheetData>
  <mergeCells count="1">
    <mergeCell ref="A1:F1"/>
  </mergeCell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8FE7-EE4D-4DEF-9EEF-835EF6F6E046}">
  <dimension ref="A1:F1"/>
  <sheetViews>
    <sheetView showGridLines="0" tabSelected="1" zoomScale="70" zoomScaleNormal="70" workbookViewId="0">
      <selection activeCell="S16" sqref="S16"/>
    </sheetView>
  </sheetViews>
  <sheetFormatPr defaultRowHeight="14.4" x14ac:dyDescent="0.3"/>
  <sheetData>
    <row r="1" spans="1:6" ht="23.4" x14ac:dyDescent="0.45">
      <c r="A1" s="37" t="s">
        <v>132</v>
      </c>
      <c r="B1" s="37"/>
      <c r="C1" s="37"/>
      <c r="D1" s="37"/>
      <c r="E1" s="37"/>
      <c r="F1" s="37"/>
    </row>
  </sheetData>
  <mergeCells count="1">
    <mergeCell ref="A1:F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B4D4-9F25-4910-A384-AC31F62607A4}">
  <dimension ref="A1:E18"/>
  <sheetViews>
    <sheetView workbookViewId="0">
      <selection activeCell="K14" sqref="K14"/>
    </sheetView>
  </sheetViews>
  <sheetFormatPr defaultRowHeight="14.4" x14ac:dyDescent="0.3"/>
  <cols>
    <col min="1" max="1" width="16.44140625" bestFit="1" customWidth="1"/>
    <col min="2" max="2" width="18.88671875" bestFit="1" customWidth="1"/>
    <col min="3" max="3" width="11.33203125" bestFit="1" customWidth="1"/>
    <col min="4" max="4" width="12.33203125" bestFit="1" customWidth="1"/>
    <col min="5" max="5" width="17.6640625" bestFit="1" customWidth="1"/>
  </cols>
  <sheetData>
    <row r="1" spans="1:5" x14ac:dyDescent="0.3">
      <c r="A1" s="29" t="s">
        <v>124</v>
      </c>
      <c r="B1" s="30">
        <v>2024</v>
      </c>
    </row>
    <row r="3" spans="1:5" x14ac:dyDescent="0.3">
      <c r="A3" s="29" t="s">
        <v>162</v>
      </c>
      <c r="B3" t="s">
        <v>128</v>
      </c>
      <c r="C3" t="s">
        <v>125</v>
      </c>
      <c r="D3" t="s">
        <v>127</v>
      </c>
      <c r="E3" t="s">
        <v>126</v>
      </c>
    </row>
    <row r="4" spans="1:5" x14ac:dyDescent="0.3">
      <c r="A4" s="30" t="s">
        <v>118</v>
      </c>
      <c r="B4" s="31">
        <v>10310.548697369348</v>
      </c>
      <c r="C4" s="31">
        <v>4.3674640765233601</v>
      </c>
      <c r="D4" s="32">
        <v>211998573</v>
      </c>
      <c r="E4" s="31">
        <v>6.8010000000000002</v>
      </c>
    </row>
    <row r="5" spans="1:5" x14ac:dyDescent="0.3">
      <c r="A5" s="30" t="s">
        <v>86</v>
      </c>
      <c r="B5" s="31">
        <v>13293.116226936598</v>
      </c>
      <c r="C5" s="31">
        <v>0.21812893843917699</v>
      </c>
      <c r="D5" s="32">
        <v>1408975000</v>
      </c>
      <c r="E5" s="31">
        <v>4.59</v>
      </c>
    </row>
    <row r="6" spans="1:5" x14ac:dyDescent="0.3">
      <c r="A6" s="30" t="s">
        <v>31</v>
      </c>
      <c r="B6" s="31">
        <v>46103.084085588387</v>
      </c>
      <c r="C6" s="31">
        <v>1.99742599742599</v>
      </c>
      <c r="D6" s="32">
        <v>68551653</v>
      </c>
      <c r="E6" s="31">
        <v>7.4</v>
      </c>
    </row>
    <row r="7" spans="1:5" x14ac:dyDescent="0.3">
      <c r="A7" s="30" t="s">
        <v>89</v>
      </c>
      <c r="B7" s="31">
        <v>56103.732318255446</v>
      </c>
      <c r="C7" s="31">
        <v>2.2564981433876001</v>
      </c>
      <c r="D7" s="32">
        <v>83516593</v>
      </c>
      <c r="E7" s="31">
        <v>3.4</v>
      </c>
    </row>
    <row r="8" spans="1:5" x14ac:dyDescent="0.3">
      <c r="A8" s="30" t="s">
        <v>17</v>
      </c>
      <c r="B8" s="31">
        <v>2591.9916607121977</v>
      </c>
      <c r="C8" s="31">
        <v>4.9530355097366003</v>
      </c>
      <c r="D8" s="32">
        <v>1450935791</v>
      </c>
      <c r="E8" s="31">
        <v>4.173</v>
      </c>
    </row>
    <row r="9" spans="1:5" x14ac:dyDescent="0.3">
      <c r="A9" s="30" t="s">
        <v>91</v>
      </c>
      <c r="B9" s="31">
        <v>4925.4364499266594</v>
      </c>
      <c r="C9" s="31">
        <v>2.18151273615188</v>
      </c>
      <c r="D9" s="32">
        <v>283487931</v>
      </c>
      <c r="E9" s="31">
        <v>3.3010000000000002</v>
      </c>
    </row>
    <row r="10" spans="1:5" x14ac:dyDescent="0.3">
      <c r="A10" s="30" t="s">
        <v>120</v>
      </c>
      <c r="B10" s="31">
        <v>112894.95324080539</v>
      </c>
      <c r="C10" s="31">
        <v>2.1134499957731601</v>
      </c>
      <c r="D10" s="32">
        <v>5395790</v>
      </c>
      <c r="E10" s="31">
        <v>4.3</v>
      </c>
    </row>
    <row r="11" spans="1:5" x14ac:dyDescent="0.3">
      <c r="A11" s="30" t="s">
        <v>4</v>
      </c>
      <c r="B11" s="31">
        <v>40429.622404735237</v>
      </c>
      <c r="C11" s="31">
        <v>0.98237511163771896</v>
      </c>
      <c r="D11" s="32">
        <v>58952704</v>
      </c>
      <c r="E11" s="31">
        <v>6.5</v>
      </c>
    </row>
    <row r="12" spans="1:5" x14ac:dyDescent="0.3">
      <c r="A12" s="30" t="s">
        <v>14</v>
      </c>
      <c r="B12" s="31">
        <v>33797.10142878761</v>
      </c>
      <c r="C12" s="31">
        <v>2.7385368163524002</v>
      </c>
      <c r="D12" s="32">
        <v>123975371</v>
      </c>
      <c r="E12" s="31">
        <v>2.5</v>
      </c>
    </row>
    <row r="13" spans="1:5" x14ac:dyDescent="0.3">
      <c r="A13" s="30" t="s">
        <v>103</v>
      </c>
      <c r="B13" s="31">
        <v>67465.32081268754</v>
      </c>
      <c r="C13" s="31">
        <v>3.3463989547502502</v>
      </c>
      <c r="D13" s="32">
        <v>17993485</v>
      </c>
      <c r="E13" s="31">
        <v>3.7</v>
      </c>
    </row>
    <row r="14" spans="1:5" x14ac:dyDescent="0.3">
      <c r="A14" s="30" t="s">
        <v>5</v>
      </c>
      <c r="B14" s="31">
        <v>14961.8974609375</v>
      </c>
      <c r="C14" s="31">
        <v>8.4348641049672306</v>
      </c>
      <c r="D14" s="32">
        <v>143669648</v>
      </c>
      <c r="E14" s="31">
        <v>2.4300000000000002</v>
      </c>
    </row>
    <row r="15" spans="1:5" x14ac:dyDescent="0.3">
      <c r="A15" s="30" t="s">
        <v>38</v>
      </c>
      <c r="B15" s="31">
        <v>6267.1868140930046</v>
      </c>
      <c r="C15" s="31">
        <v>4.3611524651896199</v>
      </c>
      <c r="D15" s="32">
        <v>64007187</v>
      </c>
      <c r="E15" s="31">
        <v>32.279000000000003</v>
      </c>
    </row>
    <row r="16" spans="1:5" x14ac:dyDescent="0.3">
      <c r="A16" s="30" t="s">
        <v>53</v>
      </c>
      <c r="B16" s="31">
        <v>35326.768306927806</v>
      </c>
      <c r="C16" s="31">
        <v>2.7740698727587301</v>
      </c>
      <c r="D16" s="32">
        <v>48848840</v>
      </c>
      <c r="E16" s="31">
        <v>11.4</v>
      </c>
    </row>
    <row r="17" spans="1:5" x14ac:dyDescent="0.3">
      <c r="A17" s="30" t="s">
        <v>2</v>
      </c>
      <c r="B17" s="31">
        <v>53341.31310942617</v>
      </c>
      <c r="C17" s="31">
        <v>3.2715729463591998</v>
      </c>
      <c r="D17" s="32">
        <v>69281000</v>
      </c>
      <c r="E17" s="31">
        <v>4.3609999999999998</v>
      </c>
    </row>
    <row r="18" spans="1:5" x14ac:dyDescent="0.3">
      <c r="A18" s="30" t="s">
        <v>77</v>
      </c>
      <c r="B18" s="31">
        <v>86169.664158191736</v>
      </c>
      <c r="C18" s="31">
        <v>2.9495252048520699</v>
      </c>
      <c r="D18" s="32">
        <v>340003797</v>
      </c>
      <c r="E18" s="31">
        <v>4.0220000000000002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8FB3-630D-4388-BCE4-11666939FB2C}">
  <dimension ref="A1:E8"/>
  <sheetViews>
    <sheetView workbookViewId="0"/>
  </sheetViews>
  <sheetFormatPr defaultRowHeight="14.4" x14ac:dyDescent="0.3"/>
  <cols>
    <col min="1" max="1" width="38.109375" bestFit="1" customWidth="1"/>
    <col min="2" max="2" width="41.33203125" bestFit="1" customWidth="1"/>
    <col min="3" max="3" width="12.33203125" bestFit="1" customWidth="1"/>
    <col min="4" max="4" width="16.77734375" bestFit="1" customWidth="1"/>
    <col min="5" max="5" width="60.109375" bestFit="1" customWidth="1"/>
  </cols>
  <sheetData>
    <row r="1" spans="1:5" x14ac:dyDescent="0.3">
      <c r="A1" s="33" t="s">
        <v>163</v>
      </c>
      <c r="B1" s="33" t="s">
        <v>164</v>
      </c>
      <c r="C1" s="33" t="s">
        <v>165</v>
      </c>
      <c r="D1" s="33" t="s">
        <v>108</v>
      </c>
      <c r="E1" s="33" t="s">
        <v>181</v>
      </c>
    </row>
    <row r="2" spans="1:5" x14ac:dyDescent="0.3">
      <c r="A2" t="s">
        <v>40</v>
      </c>
      <c r="B2" t="s">
        <v>167</v>
      </c>
      <c r="C2" t="s">
        <v>166</v>
      </c>
      <c r="D2" t="s">
        <v>168</v>
      </c>
      <c r="E2" s="28" t="s">
        <v>186</v>
      </c>
    </row>
    <row r="3" spans="1:5" x14ac:dyDescent="0.3">
      <c r="A3" t="s">
        <v>16</v>
      </c>
      <c r="B3" t="s">
        <v>169</v>
      </c>
      <c r="C3" t="s">
        <v>170</v>
      </c>
      <c r="D3" t="s">
        <v>168</v>
      </c>
      <c r="E3" s="28" t="s">
        <v>186</v>
      </c>
    </row>
    <row r="4" spans="1:5" x14ac:dyDescent="0.3">
      <c r="A4" t="s">
        <v>124</v>
      </c>
      <c r="B4" t="s">
        <v>171</v>
      </c>
      <c r="C4" t="s">
        <v>172</v>
      </c>
      <c r="D4" t="s">
        <v>168</v>
      </c>
      <c r="E4" s="28" t="s">
        <v>187</v>
      </c>
    </row>
    <row r="5" spans="1:5" x14ac:dyDescent="0.3">
      <c r="A5" t="s">
        <v>73</v>
      </c>
      <c r="B5" t="s">
        <v>173</v>
      </c>
      <c r="C5" t="s">
        <v>174</v>
      </c>
      <c r="D5" t="s">
        <v>168</v>
      </c>
      <c r="E5" s="28" t="s">
        <v>182</v>
      </c>
    </row>
    <row r="6" spans="1:5" x14ac:dyDescent="0.3">
      <c r="A6" t="s">
        <v>39</v>
      </c>
      <c r="B6" t="s">
        <v>175</v>
      </c>
      <c r="C6" t="s">
        <v>176</v>
      </c>
      <c r="D6" t="s">
        <v>168</v>
      </c>
      <c r="E6" s="28" t="s">
        <v>183</v>
      </c>
    </row>
    <row r="7" spans="1:5" x14ac:dyDescent="0.3">
      <c r="A7" t="s">
        <v>177</v>
      </c>
      <c r="B7" t="s">
        <v>178</v>
      </c>
      <c r="C7" t="s">
        <v>176</v>
      </c>
      <c r="D7" t="s">
        <v>168</v>
      </c>
      <c r="E7" s="28" t="s">
        <v>184</v>
      </c>
    </row>
    <row r="8" spans="1:5" x14ac:dyDescent="0.3">
      <c r="A8" t="s">
        <v>64</v>
      </c>
      <c r="B8" t="s">
        <v>179</v>
      </c>
      <c r="C8" t="s">
        <v>180</v>
      </c>
      <c r="D8" t="s">
        <v>168</v>
      </c>
      <c r="E8" s="28" t="s">
        <v>185</v>
      </c>
    </row>
  </sheetData>
  <hyperlinks>
    <hyperlink ref="E2" r:id="rId1" xr:uid="{7C127A51-74B5-4A71-9020-4B4495B8F80B}"/>
    <hyperlink ref="E3" r:id="rId2" xr:uid="{1BC34154-8F07-4DBC-8C5F-B0A11ED10B7E}"/>
    <hyperlink ref="E4" r:id="rId3" xr:uid="{9E82B55E-1C08-41EF-AFD2-A3E730F5E089}"/>
    <hyperlink ref="E5" r:id="rId4" xr:uid="{6A45A81C-EECC-4083-BD03-BD388273FF92}"/>
    <hyperlink ref="E6" r:id="rId5" xr:uid="{8C974B3A-7C68-4E5A-9DDA-EB22A2D0E445}"/>
    <hyperlink ref="E7" r:id="rId6" xr:uid="{C525CCF2-DFFC-4DA6-9E09-29CCF931EDD5}"/>
    <hyperlink ref="E8" r:id="rId7" xr:uid="{352C91FB-DD84-4265-A8FA-E9EF354670A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065226-8E49-47A1-9CA6-737104BD2A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WorldBankRaw</vt:lpstr>
      <vt:lpstr>Data</vt:lpstr>
      <vt:lpstr>Series - Metadata</vt:lpstr>
      <vt:lpstr>Clean_Data</vt:lpstr>
      <vt:lpstr>Analysis</vt:lpstr>
      <vt:lpstr>Historical_Analysis</vt:lpstr>
      <vt:lpstr>Dashboard</vt:lpstr>
      <vt:lpstr>Pivot_Table</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Suhail Alam</dc:creator>
  <cp:lastModifiedBy>Suhail Alam</cp:lastModifiedBy>
  <dcterms:created xsi:type="dcterms:W3CDTF">2026-10-09T03:26:53Z</dcterms:created>
  <dcterms:modified xsi:type="dcterms:W3CDTF">2026-10-10T07:12:07Z</dcterms:modified>
</cp:coreProperties>
</file>